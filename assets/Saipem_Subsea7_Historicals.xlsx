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X" sheetId="2" state="visible" r:id="rId4"/>
    <sheet name="Saipem_IS" sheetId="3" state="visible" r:id="rId5"/>
    <sheet name="Saipem_BS" sheetId="4" state="visible" r:id="rId6"/>
    <sheet name="Saipem_CF" sheetId="5" state="visible" r:id="rId7"/>
    <sheet name="Saipem_Segments" sheetId="6" state="visible" r:id="rId8"/>
    <sheet name="Saipem_Backlog" sheetId="7" state="visible" r:id="rId9"/>
    <sheet name="Saipem_KPI" sheetId="8" state="visible" r:id="rId10"/>
    <sheet name="Subsea7_IS" sheetId="9" state="visible" r:id="rId11"/>
    <sheet name="Subsea7_BS" sheetId="10" state="visible" r:id="rId12"/>
    <sheet name="Subsea7_CF" sheetId="11" state="visible" r:id="rId13"/>
    <sheet name="Subsea7_Backlog" sheetId="12" state="visible" r:id="rId14"/>
    <sheet name="Subsea7_KPI" sheetId="13" state="visible" r:id="rId15"/>
    <sheet name="Comparison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ECB reference rates. Verify against your preferred source before publication.</t>
        </r>
      </text>
    </comment>
    <comment ref="A5" authorId="0">
      <text>
        <r>
          <rPr>
            <sz val="10"/>
            <rFont val="Arial"/>
            <family val="2"/>
          </rPr>
          <t xml:space="preserve">ECB annual average reference rates.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Continuing ops. 2020–2021 as restated in 2022 report to exclude Onshore Drilling (DRON). 2021 originally reported at €6,875m.</t>
        </r>
      </text>
    </comment>
    <comment ref="A10" authorId="0">
      <text>
        <r>
          <rPr>
            <sz val="10"/>
            <rFont val="Arial"/>
            <family val="2"/>
          </rPr>
          <t xml:space="preserve">Reported EBITDA. Minor differences vs computed line reflect classification of impairment items.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2025: separated goodwill (see next line). Prior years included goodwill within intangibles.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Includes both continuing and discontinued ops for 2020–2022 where reported combined.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Restructured segmentation from FY2023 onward. Prior years used Offshore/Onshore E&amp;C.</t>
        </r>
      </text>
    </comment>
    <comment ref="A14" authorId="0">
      <text>
        <r>
          <rPr>
            <sz val="10"/>
            <rFont val="Arial"/>
            <family val="2"/>
          </rPr>
          <t xml:space="preserve">Only FY2024 and FY2025 disclosed on current segmentation basis.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9" authorId="0">
      <text>
        <r>
          <rPr>
            <sz val="10"/>
            <rFont val="Arial"/>
            <family val="2"/>
          </rPr>
          <t xml:space="preserve">Non-IFRS measure as defined by Subsea7. Reconciliation to net income in each annual report.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2023 and 2024 CFF cross-checked at end-of-year cash balance; totals may include restricted cash and FX effects.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2020 figure from narrative disclosure ($4.4bn); 2021+ from Additional Information reconciliation.</t>
        </r>
      </text>
    </comment>
  </commentList>
</comments>
</file>

<file path=xl/sharedStrings.xml><?xml version="1.0" encoding="utf-8"?>
<sst xmlns="http://schemas.openxmlformats.org/spreadsheetml/2006/main" count="303" uniqueCount="210">
  <si>
    <t xml:space="preserve">SAIPEM–SUBSEA7 HISTORICAL FINANCIALS WORKBOOK</t>
  </si>
  <si>
    <t xml:space="preserve">Prepared by: Khalil Bourgou</t>
  </si>
  <si>
    <t xml:space="preserve">Period covered: FY2020 – FY2025</t>
  </si>
  <si>
    <t xml:space="preserve">Source documents: Saipem Annual Reports 2020–2025; Subsea 7 S.A. Annual Reports 2020–2025</t>
  </si>
  <si>
    <t xml:space="preserve">Reporting currencies: Saipem in EUR (€ million); Subsea7 in USD ($ million)</t>
  </si>
  <si>
    <t xml:space="preserve">PURPOSE</t>
  </si>
  <si>
    <t xml:space="preserve">Clean starting-point workbook for a Saipem–Subsea7 merger and pro-forma valuation project. All figures are linked to a shared FX sheet so the workbook can be presented in either currency.</t>
  </si>
  <si>
    <t xml:space="preserve">SHEET GUIDE</t>
  </si>
  <si>
    <t xml:space="preserve">  •  FX  —  Year-end and average EUR/USD rates. All cross-currency conversions reference this sheet.</t>
  </si>
  <si>
    <t xml:space="preserve">  •  Saipem_IS  —  Income statement, € million, 2020–2025. Six-year historical.</t>
  </si>
  <si>
    <t xml:space="preserve">  •  Saipem_BS  —  Reclassified balance sheet, € million, as of 31 December each year.</t>
  </si>
  <si>
    <t xml:space="preserve">  •  Saipem_CF  —  Reclassified cash flow, € million, 2020–2025.</t>
  </si>
  <si>
    <t xml:space="preserve">  •  Saipem_Segments  —  Revenue and adjusted EBITDA by business line (ABS / Energy Carriers / Drilling).</t>
  </si>
  <si>
    <t xml:space="preserve">  •  Saipem_Backlog  —  Backlog at year-end and new contracts awarded during year, € million.</t>
  </si>
  <si>
    <t xml:space="preserve">  •  Saipem_KPI  —  Key ratios computed from the statements above.</t>
  </si>
  <si>
    <t xml:space="preserve">  •  Subsea7_IS  —  Income statement, $ million, 2020–2025.</t>
  </si>
  <si>
    <t xml:space="preserve">  •  Subsea7_BS  —  Balance sheet, $ million, as of 31 December each year.</t>
  </si>
  <si>
    <t xml:space="preserve">  •  Subsea7_CF  —  Cash flow, $ million, 2020–2025.</t>
  </si>
  <si>
    <t xml:space="preserve">  •  Subsea7_Backlog  —  Backlog at year-end, order intake during year, Adjusted EBITDA.</t>
  </si>
  <si>
    <t xml:space="preserve">  •  Subsea7_KPI  —  Key ratios computed from the statements above.</t>
  </si>
  <si>
    <t xml:space="preserve">  •  Comparison  —  Side-by-side historical comparison — Saipem converted to USD via the FX sheet.</t>
  </si>
  <si>
    <t xml:space="preserve">COLOUR CONVENTION</t>
  </si>
  <si>
    <t xml:space="preserve">Blue text  =  hardcoded historical input (from annual reports)</t>
  </si>
  <si>
    <t xml:space="preserve">Black text  =  formula computed from other cells</t>
  </si>
  <si>
    <t xml:space="preserve">Green text  =  link to another sheet in this workbook</t>
  </si>
  <si>
    <t xml:space="preserve">Yellow fill  =  assumption cell — edit these to change the model</t>
  </si>
  <si>
    <t xml:space="preserve">RESTATEMENTS AND SCOPE NOTES</t>
  </si>
  <si>
    <t xml:space="preserve">  •  Saipem divested Onshore Drilling (DRON) in 2022–2024; DRON is treated as discontinued operations from 2022 onward. Where 2020–2021 figures were later restated to exclude DRON, the restated figure is used and noted in a cell comment.</t>
  </si>
  <si>
    <t xml:space="preserve">  •  Saipem 2021 revenue was originally reported at €6,875m and later restated to €6,528m. Both are noted.</t>
  </si>
  <si>
    <t xml:space="preserve">  •  Subsea7 2022 comparatives were revised in the 2022 report; the workbook uses the 2023 report as source for 2022 where available for consistency.</t>
  </si>
  <si>
    <t xml:space="preserve">  •  Saipem 2025 introduced Goodwill on the balance sheet (€641m) that was previously netted inside intangibles; the workbook shows both lines in 2025.</t>
  </si>
  <si>
    <t xml:space="preserve">  •  MAJOR EVENT: In February 2025 Saipem announced a merger MoU with Subsea7 (binding merger agreement subsequently signed). This workbook is scoped as pre-merger historicals — pro-forma modelling is a separate exercise.</t>
  </si>
  <si>
    <t xml:space="preserve">FX RATES — EUR/USD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</si>
  <si>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</si>
  <si>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</si>
  <si>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</si>
  <si>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</si>
  <si>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</si>
  <si>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</si>
  <si>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EUR/USD — year-end (31 Dec)</t>
  </si>
  <si>
    <t xml:space="preserve">EUR/USD — annual average</t>
  </si>
  <si>
    <t xml:space="preserve">USD/EUR — year-end (implied)</t>
  </si>
  <si>
    <t xml:space="preserve">USD/EUR — annual average (implied)</t>
  </si>
  <si>
    <t xml:space="preserve">Note: P&amp;L items should be translated at the annual average; balance-sheet items at year-end.</t>
  </si>
  <si>
    <t xml:space="preserve">SAIPEM — CONSOLIDATED INCOME STATEMENT  (€ million)</t>
  </si>
  <si>
    <t xml:space="preserve">Core business revenue</t>
  </si>
  <si>
    <t xml:space="preserve">Other revenue and income</t>
  </si>
  <si>
    <t xml:space="preserve">Purchases, services and other costs</t>
  </si>
  <si>
    <t xml:space="preserve">Net impairment losses on trade receivables</t>
  </si>
  <si>
    <t xml:space="preserve">Personnel expenses</t>
  </si>
  <si>
    <t xml:space="preserve">EBITDA (computed)</t>
  </si>
  <si>
    <t xml:space="preserve">EBITDA (as reported)</t>
  </si>
  <si>
    <t xml:space="preserve">Depreciation, amortisation and impairment</t>
  </si>
  <si>
    <t xml:space="preserve">Operating result (EBIT)</t>
  </si>
  <si>
    <t xml:space="preserve">Net financial income (expense)</t>
  </si>
  <si>
    <t xml:space="preserve">Net gains (losses) on equity investments</t>
  </si>
  <si>
    <t xml:space="preserve">Pre-tax profit (loss)</t>
  </si>
  <si>
    <t xml:space="preserve">Income taxes</t>
  </si>
  <si>
    <t xml:space="preserve">Profit (loss) before non-controlling interests</t>
  </si>
  <si>
    <t xml:space="preserve">Non-controlling interests</t>
  </si>
  <si>
    <t xml:space="preserve">Profit (loss) for the year — Continuing ops</t>
  </si>
  <si>
    <t xml:space="preserve">MARGINS</t>
  </si>
  <si>
    <t xml:space="preserve">EBITDA margin</t>
  </si>
  <si>
    <t xml:space="preserve">EBIT margin</t>
  </si>
  <si>
    <t xml:space="preserve">Net margin</t>
  </si>
  <si>
    <t xml:space="preserve">Revenue YoY growth</t>
  </si>
  <si>
    <t xml:space="preserve">SAIPEM — RECLASSIFIED BALANCE SHEET  (€ million, as of 31 December)</t>
  </si>
  <si>
    <t xml:space="preserve">USES OF FUNDS</t>
  </si>
  <si>
    <t xml:space="preserve">Property, plant and equipment</t>
  </si>
  <si>
    <t xml:space="preserve">Right-of-use of lease assets</t>
  </si>
  <si>
    <t xml:space="preserve">Net intangible assets</t>
  </si>
  <si>
    <t xml:space="preserve">Goodwill (disclosed separately 2025)</t>
  </si>
  <si>
    <t xml:space="preserve">Equity investments</t>
  </si>
  <si>
    <t xml:space="preserve">Non-current assets</t>
  </si>
  <si>
    <t xml:space="preserve">Net current assets (liabilities)</t>
  </si>
  <si>
    <t xml:space="preserve">Employee benefits</t>
  </si>
  <si>
    <t xml:space="preserve">Net assets held for sale</t>
  </si>
  <si>
    <t xml:space="preserve">Net capital employed</t>
  </si>
  <si>
    <t xml:space="preserve">SOURCES OF FUNDS</t>
  </si>
  <si>
    <t xml:space="preserve">Equity</t>
  </si>
  <si>
    <t xml:space="preserve">Net financial debt pre-IFRS 16</t>
  </si>
  <si>
    <t xml:space="preserve">Lease liabilities (IFRS 16)</t>
  </si>
  <si>
    <t xml:space="preserve">Net financial debt post-IFRS 16</t>
  </si>
  <si>
    <t xml:space="preserve">Funding (check vs Net capital employed)</t>
  </si>
  <si>
    <t xml:space="preserve">CAPITAL STRUCTURE RATIOS</t>
  </si>
  <si>
    <t xml:space="preserve">Leverage pre-IFRS 16 (Net debt / Equity+NCI)</t>
  </si>
  <si>
    <t xml:space="preserve">Leverage post-IFRS 16 (Net debt / Equity+NCI)</t>
  </si>
  <si>
    <t xml:space="preserve">SAIPEM — RECLASSIFIED CASH FLOW  (€ million)</t>
  </si>
  <si>
    <t xml:space="preserve">Profit (loss) for the year</t>
  </si>
  <si>
    <t xml:space="preserve">Depreciation, amortisation, other non-monetary items</t>
  </si>
  <si>
    <t xml:space="preserve">Net (gains) losses on disposals</t>
  </si>
  <si>
    <t xml:space="preserve">Dividends, interest and income taxes</t>
  </si>
  <si>
    <t xml:space="preserve">Cash flow from ops before WC changes</t>
  </si>
  <si>
    <t xml:space="preserve">Changes in working capital</t>
  </si>
  <si>
    <t xml:space="preserve">Dividends received, taxes/interest paid</t>
  </si>
  <si>
    <t xml:space="preserve">Net cash from operating activities — Continuing</t>
  </si>
  <si>
    <t xml:space="preserve">Net cash from operating activities — Discontinued</t>
  </si>
  <si>
    <t xml:space="preserve">Net cash from operating activities — Total</t>
  </si>
  <si>
    <t xml:space="preserve">Capital expenditure — Continuing</t>
  </si>
  <si>
    <t xml:space="preserve">Capital expenditure — Discontinued</t>
  </si>
  <si>
    <t xml:space="preserve">Investments in equity, subsidiaries, businesses</t>
  </si>
  <si>
    <t xml:space="preserve">Disposals of PP&amp;E, subsidiaries, businesses</t>
  </si>
  <si>
    <t xml:space="preserve">Other financing changes</t>
  </si>
  <si>
    <t xml:space="preserve">Free cash flow (as reported)</t>
  </si>
  <si>
    <t xml:space="preserve">FCF conversion (FCF / EBITDA)</t>
  </si>
  <si>
    <t xml:space="preserve">Capex intensity (Capex / Revenue)</t>
  </si>
  <si>
    <t xml:space="preserve">SAIPEM — SEGMENTS  (€ million, current segmentation: ABS / Energy Carriers / Drilling)</t>
  </si>
  <si>
    <t xml:space="preserve">REVENUE BY SEGMENT</t>
  </si>
  <si>
    <t xml:space="preserve">Asset Based Services</t>
  </si>
  <si>
    <t xml:space="preserve">Energy Carriers</t>
  </si>
  <si>
    <t xml:space="preserve">Offshore Drilling</t>
  </si>
  <si>
    <t xml:space="preserve">  Legacy: Offshore E&amp;C</t>
  </si>
  <si>
    <t xml:space="preserve">  Legacy: Onshore E&amp;C</t>
  </si>
  <si>
    <t xml:space="preserve">  Legacy: Offshore Drilling</t>
  </si>
  <si>
    <t xml:space="preserve">  Legacy: Onshore Drilling (divested)</t>
  </si>
  <si>
    <t xml:space="preserve">ADJUSTED EBITDA BY SEGMENT</t>
  </si>
  <si>
    <t xml:space="preserve">SAIPEM — BACKLOG &amp; NEW CONTRACTS  (€ million)</t>
  </si>
  <si>
    <t xml:space="preserve">New contracts awarded during year</t>
  </si>
  <si>
    <t xml:space="preserve">Backlog at year-end (consolidated)</t>
  </si>
  <si>
    <t xml:space="preserve">Book-to-bill (New orders / Revenue)</t>
  </si>
  <si>
    <t xml:space="preserve">Backlog / Revenue (years of coverage)</t>
  </si>
  <si>
    <t xml:space="preserve">2025 BACKLOG BY SEGMENT (€ million)</t>
  </si>
  <si>
    <t xml:space="preserve">SAIPEM — KEY RATIOS  (computed)</t>
  </si>
  <si>
    <t xml:space="preserve">Revenue (€ m)</t>
  </si>
  <si>
    <t xml:space="preserve">EBITDA (€ m)</t>
  </si>
  <si>
    <t xml:space="preserve">FCF (€ m)</t>
  </si>
  <si>
    <t xml:space="preserve">Net debt post-IFRS 16 (€ m)</t>
  </si>
  <si>
    <t xml:space="preserve">Net debt / EBITDA</t>
  </si>
  <si>
    <t xml:space="preserve">Backlog / Revenue</t>
  </si>
  <si>
    <t xml:space="preserve">Book-to-bill</t>
  </si>
  <si>
    <t xml:space="preserve">SUBSEA 7 — CONSOLIDATED INCOME STATEMENT  ($ million)</t>
  </si>
  <si>
    <t xml:space="preserve">Revenue</t>
  </si>
  <si>
    <t xml:space="preserve">Operating expenses</t>
  </si>
  <si>
    <t xml:space="preserve">Reversal of impairment on PP&amp;E</t>
  </si>
  <si>
    <t xml:space="preserve">Gross profit (loss)</t>
  </si>
  <si>
    <t xml:space="preserve">Administrative expenses</t>
  </si>
  <si>
    <t xml:space="preserve">Impairment of goodwill</t>
  </si>
  <si>
    <t xml:space="preserve">Share of net income (loss) of associates &amp; JVs</t>
  </si>
  <si>
    <t xml:space="preserve">Net operating income (loss)</t>
  </si>
  <si>
    <t xml:space="preserve">Finance income</t>
  </si>
  <si>
    <t xml:space="preserve">Other gains and losses</t>
  </si>
  <si>
    <t xml:space="preserve">Finance costs</t>
  </si>
  <si>
    <t xml:space="preserve">Income (loss) before taxes</t>
  </si>
  <si>
    <t xml:space="preserve">Taxation</t>
  </si>
  <si>
    <t xml:space="preserve">Net income (loss)</t>
  </si>
  <si>
    <t xml:space="preserve">Adjusted EBITDA</t>
  </si>
  <si>
    <t xml:space="preserve">Adjusted EBITDA margin</t>
  </si>
  <si>
    <t xml:space="preserve">Net operating income margin</t>
  </si>
  <si>
    <t xml:space="preserve">Net income margin</t>
  </si>
  <si>
    <t xml:space="preserve">SUBSEA 7 — CONSOLIDATED BALANCE SHEET  ($ million, as of 31 December)</t>
  </si>
  <si>
    <t xml:space="preserve">ASSETS</t>
  </si>
  <si>
    <t xml:space="preserve">Goodwill</t>
  </si>
  <si>
    <t xml:space="preserve">Intangible assets</t>
  </si>
  <si>
    <t xml:space="preserve">Right-of-use assets</t>
  </si>
  <si>
    <t xml:space="preserve">Interests in associates &amp; JVs</t>
  </si>
  <si>
    <t xml:space="preserve">Other non-current assets</t>
  </si>
  <si>
    <t xml:space="preserve">Total non-current assets</t>
  </si>
  <si>
    <t xml:space="preserve">Cash and cash equivalents</t>
  </si>
  <si>
    <t xml:space="preserve">Other current assets</t>
  </si>
  <si>
    <t xml:space="preserve">Total current assets</t>
  </si>
  <si>
    <t xml:space="preserve">TOTAL ASSETS</t>
  </si>
  <si>
    <t xml:space="preserve">EQUITY &amp; LIABILITIES</t>
  </si>
  <si>
    <t xml:space="preserve">Equity attributable to shareholders</t>
  </si>
  <si>
    <t xml:space="preserve">Total equity</t>
  </si>
  <si>
    <t xml:space="preserve">Non-current borrowings</t>
  </si>
  <si>
    <t xml:space="preserve">Non-current lease liabilities</t>
  </si>
  <si>
    <t xml:space="preserve">Other non-current liabilities</t>
  </si>
  <si>
    <t xml:space="preserve">Total non-current liabilities</t>
  </si>
  <si>
    <t xml:space="preserve">Current portion of borrowings</t>
  </si>
  <si>
    <t xml:space="preserve">Current portion of lease liabilities</t>
  </si>
  <si>
    <t xml:space="preserve">Other current liabilities</t>
  </si>
  <si>
    <t xml:space="preserve">Total current liabilities</t>
  </si>
  <si>
    <t xml:space="preserve">TOTAL LIABILITIES</t>
  </si>
  <si>
    <t xml:space="preserve">NET DEBT COMPUTATION</t>
  </si>
  <si>
    <t xml:space="preserve">Gross debt (borrowings only, ex-lease)</t>
  </si>
  <si>
    <t xml:space="preserve">Net debt (cash) pre-IFRS 16</t>
  </si>
  <si>
    <t xml:space="preserve">Lease liabilities</t>
  </si>
  <si>
    <t xml:space="preserve">Net debt post-IFRS 16</t>
  </si>
  <si>
    <t xml:space="preserve">SUBSEA 7 — CASH FLOW  ($ million)</t>
  </si>
  <si>
    <t xml:space="preserve">Net cash generated from operating activities</t>
  </si>
  <si>
    <t xml:space="preserve">Capital expenditure (PP&amp;E + intangibles)</t>
  </si>
  <si>
    <t xml:space="preserve">Net cash used in investing activities (total)</t>
  </si>
  <si>
    <t xml:space="preserve">Net cash used in financing activities</t>
  </si>
  <si>
    <t xml:space="preserve">Cash and cash equivalents at year-end</t>
  </si>
  <si>
    <t xml:space="preserve">Free cash flow (CFO + Capex)</t>
  </si>
  <si>
    <t xml:space="preserve">FCF conversion (FCF / Adj EBITDA)</t>
  </si>
  <si>
    <t xml:space="preserve">SUBSEA 7 — BACKLOG &amp; ORDER INTAKE  ($ million)</t>
  </si>
  <si>
    <t xml:space="preserve">Order intake during year</t>
  </si>
  <si>
    <t xml:space="preserve">Backlog at year-end</t>
  </si>
  <si>
    <t xml:space="preserve">Book-to-bill (Intake / Revenue)</t>
  </si>
  <si>
    <t xml:space="preserve">SUBSEA 7 — KEY RATIOS  (computed)</t>
  </si>
  <si>
    <t xml:space="preserve">Revenue ($ m)</t>
  </si>
  <si>
    <t xml:space="preserve">Adjusted EBITDA ($ m)</t>
  </si>
  <si>
    <t xml:space="preserve">Adj EBITDA margin</t>
  </si>
  <si>
    <t xml:space="preserve">FCF ($ m)</t>
  </si>
  <si>
    <t xml:space="preserve">Net debt post-IFRS 16 ($ m)</t>
  </si>
  <si>
    <t xml:space="preserve">Net debt / Adj EBITDA</t>
  </si>
  <si>
    <t xml:space="preserve">SIDE-BY-SIDE COMPARISON  (all figures in USD millions; Saipem converted at annual average FX)</t>
  </si>
  <si>
    <t xml:space="preserve">REVENUE ($ m)</t>
  </si>
  <si>
    <t xml:space="preserve">Saipem (€ converted @ avg FX)</t>
  </si>
  <si>
    <t xml:space="preserve">Subsea 7</t>
  </si>
  <si>
    <t xml:space="preserve">Saipem / Subsea 7 (ratio)</t>
  </si>
  <si>
    <t xml:space="preserve">EBITDA ($ m)  —  Saipem reported EBITDA; Subsea7 Adj EBITDA</t>
  </si>
  <si>
    <t xml:space="preserve">Subsea 7 (Adj EBITDA)</t>
  </si>
  <si>
    <t xml:space="preserve">NET DEBT POST-IFRS 16 ($ m, year-end FX)</t>
  </si>
  <si>
    <t xml:space="preserve">Saipem (€ converted @ year-end FX)</t>
  </si>
  <si>
    <t xml:space="preserve">BACKLOG ($ m, year-end FX)</t>
  </si>
  <si>
    <t xml:space="preserve">COMBINED (indicative — no synergies, no eliminations)</t>
  </si>
  <si>
    <t xml:space="preserve">Combined revenue ($ m)</t>
  </si>
  <si>
    <t xml:space="preserve">Combined backlog ($ m, year-end)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</si>
</sst>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"/>
    <numFmt numFmtId="167" formatCode="#,##0;\(#,##0\);\-"/>
    <numFmt numFmtId="168" formatCode="0.0%;\(0.0%\);\-"/>
    <numFmt numFmtId="169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6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7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9" customFormat="false" ht="15" hidden="false" customHeight="false" outlineLevel="0" collapsed="false">
      <c r="B9" s="3" t="s">
        <v>5</v>
      </c>
    </row>
    <row r="10" customFormat="false" ht="45" hidden="false" customHeight="true" outlineLevel="0" collapsed="false">
      <c r="B10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 t="s">
        <v>16</v>
      </c>
    </row>
    <row r="22" customFormat="false" ht="15" hidden="false" customHeight="false" outlineLevel="0" collapsed="false">
      <c r="B22" s="2" t="s">
        <v>17</v>
      </c>
    </row>
    <row r="23" customFormat="false" ht="15" hidden="false" customHeight="false" outlineLevel="0" collapsed="false">
      <c r="B23" s="2" t="s">
        <v>18</v>
      </c>
    </row>
    <row r="24" customFormat="false" ht="1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2" t="s">
        <v>20</v>
      </c>
    </row>
    <row r="27" customFormat="false" ht="15" hidden="false" customHeight="false" outlineLevel="0" collapsed="false">
      <c r="B27" s="3" t="s">
        <v>21</v>
      </c>
    </row>
    <row r="29" customFormat="false" ht="15" hidden="false" customHeight="false" outlineLevel="0" collapsed="false">
      <c r="B29" s="5" t="s">
        <v>22</v>
      </c>
    </row>
    <row r="30" customFormat="false" ht="15" hidden="false" customHeight="false" outlineLevel="0" collapsed="false">
      <c r="B30" s="6" t="s">
        <v>23</v>
      </c>
    </row>
    <row r="31" customFormat="false" ht="15" hidden="false" customHeight="false" outlineLevel="0" collapsed="false">
      <c r="B31" s="7" t="s">
        <v>24</v>
      </c>
    </row>
    <row r="32" customFormat="false" ht="15" hidden="false" customHeight="false" outlineLevel="0" collapsed="false">
      <c r="B32" s="6" t="s">
        <v>25</v>
      </c>
    </row>
    <row r="34" customFormat="false" ht="15" hidden="false" customHeight="false" outlineLevel="0" collapsed="false">
      <c r="B34" s="3" t="s">
        <v>26</v>
      </c>
    </row>
    <row r="36" customFormat="false" ht="30" hidden="false" customHeight="true" outlineLevel="0" collapsed="false">
      <c r="B36" s="8" t="s">
        <v>27</v>
      </c>
    </row>
    <row r="37" customFormat="false" ht="30" hidden="false" customHeight="true" outlineLevel="0" collapsed="false">
      <c r="B37" s="8" t="s">
        <v>28</v>
      </c>
    </row>
    <row r="38" customFormat="false" ht="30" hidden="false" customHeight="true" outlineLevel="0" collapsed="false">
      <c r="B38" s="8" t="s">
        <v>29</v>
      </c>
    </row>
    <row r="39" customFormat="false" ht="30" hidden="false" customHeight="true" outlineLevel="0" collapsed="false">
      <c r="B39" s="8" t="s">
        <v>30</v>
      </c>
    </row>
    <row r="40" customFormat="false" ht="30" hidden="false" customHeight="true" outlineLevel="0" collapsed="false">
      <c r="B40" s="8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32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12" t="s">
        <v>39</v>
      </c>
      <c r="B4" s="13" t="n">
        <v>1.2271</v>
      </c>
      <c r="C4" s="13" t="n">
        <v>1.1326</v>
      </c>
      <c r="D4" s="13" t="n">
        <v>1.0666</v>
      </c>
      <c r="E4" s="13" t="n">
        <v>1.105</v>
      </c>
      <c r="F4" s="13" t="n">
        <v>1.0389</v>
      </c>
      <c r="G4" s="13" t="n">
        <v>1.183</v>
      </c>
    </row>
    <row r="5" customFormat="false" ht="15" hidden="false" customHeight="false" outlineLevel="0" collapsed="false">
      <c r="A5" s="12" t="s">
        <v>40</v>
      </c>
      <c r="B5" s="13" t="n">
        <v>1.1422</v>
      </c>
      <c r="C5" s="13" t="n">
        <v>1.1827</v>
      </c>
      <c r="D5" s="13" t="n">
        <v>1.053</v>
      </c>
      <c r="E5" s="13" t="n">
        <v>1.0813</v>
      </c>
      <c r="F5" s="13" t="n">
        <v>1.0824</v>
      </c>
      <c r="G5" s="13" t="n">
        <v>1.133</v>
      </c>
    </row>
    <row r="7" customFormat="false" ht="15" hidden="false" customHeight="false" outlineLevel="0" collapsed="false">
      <c r="A7" s="12" t="s">
        <v>41</v>
      </c>
      <c r="B7" s="14" t="n">
        <f aca="false">1/B4</f>
        <v>0.814929508597506</v>
      </c>
      <c r="C7" s="14" t="n">
        <f aca="false">1/C4</f>
        <v>0.88292424509977</v>
      </c>
      <c r="D7" s="14" t="n">
        <f aca="false">1/D4</f>
        <v>0.937558597412338</v>
      </c>
      <c r="E7" s="14" t="n">
        <f aca="false">1/E4</f>
        <v>0.904977375565611</v>
      </c>
      <c r="F7" s="14" t="n">
        <f aca="false">1/F4</f>
        <v>0.962556550197324</v>
      </c>
      <c r="G7" s="14" t="n">
        <f aca="false">1/G4</f>
        <v>0.84530853761623</v>
      </c>
    </row>
    <row r="8" customFormat="false" ht="15" hidden="false" customHeight="false" outlineLevel="0" collapsed="false">
      <c r="A8" s="12" t="s">
        <v>42</v>
      </c>
      <c r="B8" s="14" t="n">
        <f aca="false">1/B5</f>
        <v>0.875503414463316</v>
      </c>
      <c r="C8" s="14" t="n">
        <f aca="false">1/C5</f>
        <v>0.845522955948254</v>
      </c>
      <c r="D8" s="14" t="n">
        <f aca="false">1/D5</f>
        <v>0.949667616334283</v>
      </c>
      <c r="E8" s="14" t="n">
        <f aca="false">1/E5</f>
        <v>0.924812725423102</v>
      </c>
      <c r="F8" s="14" t="n">
        <f aca="false">1/F5</f>
        <v>0.923872875092387</v>
      </c>
      <c r="G8" s="14" t="n">
        <f aca="false">1/G5</f>
        <v>0.88261253309797</v>
      </c>
    </row>
    <row r="10" customFormat="false" ht="15" hidden="false" customHeight="false" outlineLevel="0" collapsed="false">
      <c r="A10" s="15" t="s">
        <v>43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44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16" t="s">
        <v>45</v>
      </c>
      <c r="B4" s="17" t="n">
        <v>7342</v>
      </c>
      <c r="C4" s="17" t="n">
        <v>6528</v>
      </c>
      <c r="D4" s="17" t="n">
        <v>9980</v>
      </c>
      <c r="E4" s="17" t="n">
        <v>11874</v>
      </c>
      <c r="F4" s="17" t="n">
        <v>14549</v>
      </c>
      <c r="G4" s="17" t="n">
        <v>15497</v>
      </c>
    </row>
    <row r="5" customFormat="false" ht="15" hidden="false" customHeight="false" outlineLevel="0" collapsed="false">
      <c r="A5" s="12" t="s">
        <v>46</v>
      </c>
      <c r="B5" s="18" t="n">
        <v>12</v>
      </c>
      <c r="C5" s="18" t="n">
        <v>5</v>
      </c>
      <c r="D5" s="18" t="n">
        <v>9</v>
      </c>
      <c r="E5" s="18" t="n">
        <v>23</v>
      </c>
      <c r="F5" s="18" t="n">
        <v>3</v>
      </c>
      <c r="G5" s="18" t="n">
        <v>5</v>
      </c>
    </row>
    <row r="6" customFormat="false" ht="15" hidden="false" customHeight="false" outlineLevel="0" collapsed="false">
      <c r="A6" s="12" t="s">
        <v>47</v>
      </c>
      <c r="B6" s="18" t="n">
        <v>-5294</v>
      </c>
      <c r="C6" s="18" t="n">
        <v>-6662</v>
      </c>
      <c r="D6" s="18" t="n">
        <v>-7822</v>
      </c>
      <c r="E6" s="18" t="n">
        <v>-9236</v>
      </c>
      <c r="F6" s="18" t="n">
        <v>-11160</v>
      </c>
      <c r="G6" s="18" t="n">
        <v>-11570</v>
      </c>
    </row>
    <row r="7" customFormat="false" ht="15" hidden="false" customHeight="false" outlineLevel="0" collapsed="false">
      <c r="A7" s="12" t="s">
        <v>48</v>
      </c>
      <c r="B7" s="18" t="n">
        <v>-7</v>
      </c>
      <c r="C7" s="18" t="n">
        <v>-42</v>
      </c>
      <c r="D7" s="18" t="n">
        <v>32</v>
      </c>
      <c r="E7" s="18" t="n">
        <v>1</v>
      </c>
      <c r="F7" s="18" t="n">
        <v>-5</v>
      </c>
      <c r="G7" s="18" t="n">
        <v>33</v>
      </c>
    </row>
    <row r="8" customFormat="false" ht="15" hidden="false" customHeight="false" outlineLevel="0" collapsed="false">
      <c r="A8" s="12" t="s">
        <v>49</v>
      </c>
      <c r="B8" s="18" t="n">
        <v>-1625</v>
      </c>
      <c r="C8" s="18" t="n">
        <v>-1553</v>
      </c>
      <c r="D8" s="18" t="n">
        <v>-1656</v>
      </c>
      <c r="E8" s="18" t="n">
        <v>-1736</v>
      </c>
      <c r="F8" s="18" t="n">
        <v>-2058</v>
      </c>
      <c r="G8" s="18" t="n">
        <v>-2249</v>
      </c>
    </row>
    <row r="9" customFormat="false" ht="15" hidden="false" customHeight="false" outlineLevel="0" collapsed="false">
      <c r="A9" s="16" t="s">
        <v>50</v>
      </c>
      <c r="B9" s="19" t="n">
        <f aca="false">SUM(B4:B8)</f>
        <v>428</v>
      </c>
      <c r="C9" s="19" t="n">
        <f aca="false">SUM(C4:C8)</f>
        <v>-1724</v>
      </c>
      <c r="D9" s="19" t="n">
        <f aca="false">SUM(D4:D8)</f>
        <v>543</v>
      </c>
      <c r="E9" s="19" t="n">
        <f aca="false">SUM(E4:E8)</f>
        <v>926</v>
      </c>
      <c r="F9" s="19" t="n">
        <f aca="false">SUM(F4:F8)</f>
        <v>1329</v>
      </c>
      <c r="G9" s="19" t="n">
        <f aca="false">SUM(G4:G8)</f>
        <v>1716</v>
      </c>
    </row>
    <row r="10" customFormat="false" ht="15" hidden="false" customHeight="false" outlineLevel="0" collapsed="false">
      <c r="A10" s="16" t="s">
        <v>51</v>
      </c>
      <c r="B10" s="17" t="n">
        <v>428</v>
      </c>
      <c r="C10" s="17" t="n">
        <v>-1724</v>
      </c>
      <c r="D10" s="17" t="n">
        <v>543</v>
      </c>
      <c r="E10" s="17" t="n">
        <v>926</v>
      </c>
      <c r="F10" s="17" t="n">
        <v>1329</v>
      </c>
      <c r="G10" s="17" t="n">
        <v>1716</v>
      </c>
    </row>
    <row r="11" customFormat="false" ht="15" hidden="false" customHeight="false" outlineLevel="0" collapsed="false">
      <c r="A11" s="12" t="s">
        <v>52</v>
      </c>
      <c r="B11" s="18" t="n">
        <v>-1273</v>
      </c>
      <c r="C11" s="18" t="n">
        <v>-495</v>
      </c>
      <c r="D11" s="18" t="n">
        <v>-445</v>
      </c>
      <c r="E11" s="18" t="n">
        <v>-489</v>
      </c>
      <c r="F11" s="18" t="n">
        <v>-723</v>
      </c>
      <c r="G11" s="18" t="n">
        <v>-1037</v>
      </c>
    </row>
    <row r="12" customFormat="false" ht="15" hidden="false" customHeight="false" outlineLevel="0" collapsed="false">
      <c r="A12" s="16" t="s">
        <v>53</v>
      </c>
      <c r="B12" s="17" t="n">
        <v>-845</v>
      </c>
      <c r="C12" s="17" t="n">
        <v>-2219</v>
      </c>
      <c r="D12" s="17" t="n">
        <v>98</v>
      </c>
      <c r="E12" s="17" t="n">
        <v>437</v>
      </c>
      <c r="F12" s="17" t="n">
        <v>606</v>
      </c>
      <c r="G12" s="17" t="n">
        <v>679</v>
      </c>
    </row>
    <row r="13" customFormat="false" ht="15" hidden="false" customHeight="false" outlineLevel="0" collapsed="false">
      <c r="A13" s="12" t="s">
        <v>54</v>
      </c>
      <c r="B13" s="18" t="n">
        <v>-166</v>
      </c>
      <c r="C13" s="18" t="n">
        <v>-137</v>
      </c>
      <c r="D13" s="18" t="n">
        <v>-195</v>
      </c>
      <c r="E13" s="18" t="n">
        <v>-167</v>
      </c>
      <c r="F13" s="18" t="n">
        <v>-85</v>
      </c>
      <c r="G13" s="18" t="n">
        <v>-189</v>
      </c>
    </row>
    <row r="14" customFormat="false" ht="15" hidden="false" customHeight="false" outlineLevel="0" collapsed="false">
      <c r="A14" s="12" t="s">
        <v>55</v>
      </c>
      <c r="B14" s="18" t="n">
        <v>37</v>
      </c>
      <c r="C14" s="18" t="n">
        <v>9</v>
      </c>
      <c r="D14" s="18" t="n">
        <v>-65</v>
      </c>
      <c r="E14" s="18" t="n">
        <v>60</v>
      </c>
      <c r="F14" s="18" t="n">
        <v>-25</v>
      </c>
      <c r="G14" s="18" t="n">
        <v>28</v>
      </c>
    </row>
    <row r="15" customFormat="false" ht="15" hidden="false" customHeight="false" outlineLevel="0" collapsed="false">
      <c r="A15" s="16" t="s">
        <v>56</v>
      </c>
      <c r="B15" s="17" t="n">
        <v>-974</v>
      </c>
      <c r="C15" s="17" t="n">
        <v>-2347</v>
      </c>
      <c r="D15" s="17" t="n">
        <v>-162</v>
      </c>
      <c r="E15" s="17" t="n">
        <v>330</v>
      </c>
      <c r="F15" s="17" t="n">
        <v>496</v>
      </c>
      <c r="G15" s="17" t="n">
        <v>518</v>
      </c>
    </row>
    <row r="16" customFormat="false" ht="15" hidden="false" customHeight="false" outlineLevel="0" collapsed="false">
      <c r="A16" s="12" t="s">
        <v>57</v>
      </c>
      <c r="B16" s="18" t="n">
        <v>-143</v>
      </c>
      <c r="C16" s="18" t="n">
        <v>-59</v>
      </c>
      <c r="D16" s="18" t="n">
        <v>-153</v>
      </c>
      <c r="E16" s="18" t="n">
        <v>-145</v>
      </c>
      <c r="F16" s="18" t="n">
        <v>-190</v>
      </c>
      <c r="G16" s="18" t="n">
        <v>-207</v>
      </c>
    </row>
    <row r="17" customFormat="false" ht="15" hidden="false" customHeight="false" outlineLevel="0" collapsed="false">
      <c r="A17" s="12" t="s">
        <v>58</v>
      </c>
      <c r="B17" s="18" t="n">
        <v>-1117</v>
      </c>
      <c r="C17" s="18" t="n">
        <v>-2406</v>
      </c>
      <c r="D17" s="18" t="n">
        <v>-315</v>
      </c>
      <c r="E17" s="18" t="n">
        <v>185</v>
      </c>
      <c r="F17" s="18" t="n">
        <v>306</v>
      </c>
      <c r="G17" s="18" t="n">
        <v>311</v>
      </c>
    </row>
    <row r="18" customFormat="false" ht="15" hidden="false" customHeight="false" outlineLevel="0" collapsed="false">
      <c r="A18" s="12" t="s">
        <v>59</v>
      </c>
      <c r="B18" s="18" t="n">
        <v>-19</v>
      </c>
      <c r="C18" s="18" t="n">
        <v>0</v>
      </c>
      <c r="D18" s="18" t="n">
        <v>0</v>
      </c>
      <c r="E18" s="18" t="n">
        <v>0</v>
      </c>
      <c r="F18" s="18" t="n">
        <v>0</v>
      </c>
      <c r="G18" s="18" t="n">
        <v>-1</v>
      </c>
    </row>
    <row r="19" customFormat="false" ht="15" hidden="false" customHeight="false" outlineLevel="0" collapsed="false">
      <c r="A19" s="16" t="s">
        <v>60</v>
      </c>
      <c r="B19" s="17" t="n">
        <v>-1136</v>
      </c>
      <c r="C19" s="17" t="n">
        <v>-2406</v>
      </c>
      <c r="D19" s="17" t="n">
        <v>-315</v>
      </c>
      <c r="E19" s="17" t="n">
        <v>185</v>
      </c>
      <c r="F19" s="17" t="n">
        <v>306</v>
      </c>
      <c r="G19" s="17" t="n">
        <v>310</v>
      </c>
    </row>
    <row r="21" customFormat="false" ht="15" hidden="false" customHeight="false" outlineLevel="0" collapsed="false">
      <c r="A21" s="20" t="s">
        <v>61</v>
      </c>
      <c r="B21" s="20"/>
      <c r="C21" s="20"/>
      <c r="D21" s="20"/>
      <c r="E21" s="20"/>
      <c r="F21" s="20"/>
      <c r="G21" s="20"/>
    </row>
    <row r="22" customFormat="false" ht="15" hidden="false" customHeight="false" outlineLevel="0" collapsed="false">
      <c r="A22" s="16" t="s">
        <v>62</v>
      </c>
      <c r="B22" s="21" t="n">
        <f aca="false">B10/B4</f>
        <v>0.0582947425769545</v>
      </c>
      <c r="C22" s="21" t="n">
        <f aca="false">C10/C4</f>
        <v>-0.264093137254902</v>
      </c>
      <c r="D22" s="21" t="n">
        <f aca="false">D10/D4</f>
        <v>0.0544088176352705</v>
      </c>
      <c r="E22" s="21" t="n">
        <f aca="false">E10/E4</f>
        <v>0.077985514569648</v>
      </c>
      <c r="F22" s="21" t="n">
        <f aca="false">F10/F4</f>
        <v>0.0913464842944532</v>
      </c>
      <c r="G22" s="21" t="n">
        <f aca="false">G10/G4</f>
        <v>0.110731109246951</v>
      </c>
    </row>
    <row r="23" customFormat="false" ht="15" hidden="false" customHeight="false" outlineLevel="0" collapsed="false">
      <c r="A23" s="16" t="s">
        <v>63</v>
      </c>
      <c r="B23" s="21" t="n">
        <f aca="false">B12/B4</f>
        <v>-0.115091255788613</v>
      </c>
      <c r="C23" s="21" t="n">
        <f aca="false">C12/C4</f>
        <v>-0.339920343137255</v>
      </c>
      <c r="D23" s="21" t="n">
        <f aca="false">D12/D4</f>
        <v>0.00981963927855712</v>
      </c>
      <c r="E23" s="21" t="n">
        <f aca="false">E12/E4</f>
        <v>0.0368030992083544</v>
      </c>
      <c r="F23" s="21" t="n">
        <f aca="false">F12/F4</f>
        <v>0.0416523472403602</v>
      </c>
      <c r="G23" s="21" t="n">
        <f aca="false">G12/G4</f>
        <v>0.0438149319223075</v>
      </c>
    </row>
    <row r="24" customFormat="false" ht="15" hidden="false" customHeight="false" outlineLevel="0" collapsed="false">
      <c r="A24" s="16" t="s">
        <v>64</v>
      </c>
      <c r="B24" s="21" t="n">
        <f aca="false">B19/B4</f>
        <v>-0.15472623263416</v>
      </c>
      <c r="C24" s="21" t="n">
        <f aca="false">C19/C4</f>
        <v>-0.368566176470588</v>
      </c>
      <c r="D24" s="21" t="n">
        <f aca="false">D19/D4</f>
        <v>-0.031563126252505</v>
      </c>
      <c r="E24" s="21" t="n">
        <f aca="false">E19/E4</f>
        <v>0.0155802593902644</v>
      </c>
      <c r="F24" s="21" t="n">
        <f aca="false">F19/F4</f>
        <v>0.0210323733589937</v>
      </c>
      <c r="G24" s="21" t="n">
        <f aca="false">G19/G4</f>
        <v>0.0200038717171065</v>
      </c>
    </row>
    <row r="25" customFormat="false" ht="15" hidden="false" customHeight="false" outlineLevel="0" collapsed="false">
      <c r="A25" s="16" t="s">
        <v>65</v>
      </c>
      <c r="B25" s="21"/>
      <c r="C25" s="21" t="n">
        <f aca="false">C4/B4-1</f>
        <v>-0.110868973031871</v>
      </c>
      <c r="D25" s="21" t="n">
        <f aca="false">D4/C4-1</f>
        <v>0.528799019607843</v>
      </c>
      <c r="E25" s="21" t="n">
        <f aca="false">E4/D4-1</f>
        <v>0.189779559118237</v>
      </c>
      <c r="F25" s="21" t="n">
        <f aca="false">F4/E4-1</f>
        <v>0.225282129021391</v>
      </c>
      <c r="G25" s="21" t="n">
        <f aca="false">G4/F4-1</f>
        <v>0.0651591174651178</v>
      </c>
    </row>
  </sheetData>
  <mergeCells count="2">
    <mergeCell ref="A1:G1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66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20" t="s">
        <v>67</v>
      </c>
      <c r="B4" s="20"/>
      <c r="C4" s="20"/>
      <c r="D4" s="20"/>
      <c r="E4" s="20"/>
      <c r="F4" s="20"/>
      <c r="G4" s="20"/>
    </row>
    <row r="5" customFormat="false" ht="15" hidden="false" customHeight="false" outlineLevel="0" collapsed="false">
      <c r="A5" s="12" t="s">
        <v>68</v>
      </c>
      <c r="B5" s="18" t="n">
        <v>3284</v>
      </c>
      <c r="C5" s="18" t="n">
        <v>3113</v>
      </c>
      <c r="D5" s="18" t="n">
        <v>2879</v>
      </c>
      <c r="E5" s="18" t="n">
        <v>2960</v>
      </c>
      <c r="F5" s="18" t="n">
        <v>2844</v>
      </c>
      <c r="G5" s="18" t="n">
        <v>2700</v>
      </c>
    </row>
    <row r="6" customFormat="false" ht="15" hidden="false" customHeight="false" outlineLevel="0" collapsed="false">
      <c r="A6" s="12" t="s">
        <v>69</v>
      </c>
      <c r="B6" s="18" t="n">
        <v>288</v>
      </c>
      <c r="C6" s="18" t="n">
        <v>261</v>
      </c>
      <c r="D6" s="18" t="n">
        <v>258</v>
      </c>
      <c r="E6" s="18" t="n">
        <v>428</v>
      </c>
      <c r="F6" s="18" t="n">
        <v>630</v>
      </c>
      <c r="G6" s="18" t="n">
        <v>1213</v>
      </c>
    </row>
    <row r="7" customFormat="false" ht="15" hidden="false" customHeight="false" outlineLevel="0" collapsed="false">
      <c r="A7" s="12" t="s">
        <v>70</v>
      </c>
      <c r="B7" s="18" t="n">
        <v>701</v>
      </c>
      <c r="C7" s="18" t="n">
        <v>699</v>
      </c>
      <c r="D7" s="18" t="n">
        <v>691</v>
      </c>
      <c r="E7" s="18" t="n">
        <v>666</v>
      </c>
      <c r="F7" s="18" t="n">
        <v>668</v>
      </c>
      <c r="G7" s="18" t="n">
        <v>38</v>
      </c>
    </row>
    <row r="8" customFormat="false" ht="15" hidden="false" customHeight="false" outlineLevel="0" collapsed="false">
      <c r="A8" s="12" t="s">
        <v>71</v>
      </c>
      <c r="B8" s="18" t="n">
        <v>0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641</v>
      </c>
    </row>
    <row r="9" customFormat="false" ht="15" hidden="false" customHeight="false" outlineLevel="0" collapsed="false">
      <c r="A9" s="12" t="s">
        <v>72</v>
      </c>
      <c r="B9" s="18" t="n">
        <v>140</v>
      </c>
      <c r="C9" s="18" t="n">
        <v>127</v>
      </c>
      <c r="D9" s="18" t="n">
        <v>128</v>
      </c>
      <c r="E9" s="18" t="n">
        <v>162</v>
      </c>
      <c r="F9" s="18" t="n">
        <v>-14</v>
      </c>
      <c r="G9" s="18" t="n">
        <v>-25</v>
      </c>
    </row>
    <row r="10" customFormat="false" ht="15" hidden="false" customHeight="false" outlineLevel="0" collapsed="false">
      <c r="A10" s="16" t="s">
        <v>73</v>
      </c>
      <c r="B10" s="17" t="n">
        <v>4413</v>
      </c>
      <c r="C10" s="17" t="n">
        <v>4200</v>
      </c>
      <c r="D10" s="17" t="n">
        <v>3956</v>
      </c>
      <c r="E10" s="17" t="n">
        <v>4216</v>
      </c>
      <c r="F10" s="17" t="n">
        <v>4128</v>
      </c>
      <c r="G10" s="17" t="n">
        <v>4567</v>
      </c>
    </row>
    <row r="11" customFormat="false" ht="15" hidden="false" customHeight="false" outlineLevel="0" collapsed="false">
      <c r="A11" s="12" t="s">
        <v>74</v>
      </c>
      <c r="B11" s="18" t="n">
        <v>-2</v>
      </c>
      <c r="C11" s="18" t="n">
        <v>-2070</v>
      </c>
      <c r="D11" s="18" t="n">
        <v>-1589</v>
      </c>
      <c r="E11" s="18" t="n">
        <v>-1366</v>
      </c>
      <c r="F11" s="18" t="n">
        <v>-1508</v>
      </c>
      <c r="G11" s="18" t="n">
        <v>-1462</v>
      </c>
    </row>
    <row r="12" customFormat="false" ht="15" hidden="false" customHeight="false" outlineLevel="0" collapsed="false">
      <c r="A12" s="12" t="s">
        <v>75</v>
      </c>
      <c r="B12" s="18" t="n">
        <v>-237</v>
      </c>
      <c r="C12" s="18" t="n">
        <v>-238</v>
      </c>
      <c r="D12" s="18" t="n">
        <v>-183</v>
      </c>
      <c r="E12" s="18" t="n">
        <v>-193</v>
      </c>
      <c r="F12" s="18" t="n">
        <v>-208</v>
      </c>
      <c r="G12" s="18" t="n">
        <v>-195</v>
      </c>
    </row>
    <row r="13" customFormat="false" ht="15" hidden="false" customHeight="false" outlineLevel="0" collapsed="false">
      <c r="A13" s="12" t="s">
        <v>76</v>
      </c>
      <c r="B13" s="18" t="n">
        <v>0</v>
      </c>
      <c r="C13" s="18" t="n">
        <v>0</v>
      </c>
      <c r="D13" s="18" t="n">
        <v>166</v>
      </c>
      <c r="E13" s="18" t="n">
        <v>0</v>
      </c>
      <c r="F13" s="18" t="n">
        <v>89</v>
      </c>
      <c r="G13" s="18" t="n">
        <v>0</v>
      </c>
    </row>
    <row r="14" customFormat="false" ht="15" hidden="false" customHeight="false" outlineLevel="0" collapsed="false">
      <c r="A14" s="16" t="s">
        <v>77</v>
      </c>
      <c r="B14" s="17" t="n">
        <v>4174</v>
      </c>
      <c r="C14" s="17" t="n">
        <v>1892</v>
      </c>
      <c r="D14" s="17" t="n">
        <v>2350</v>
      </c>
      <c r="E14" s="17" t="n">
        <v>2657</v>
      </c>
      <c r="F14" s="17" t="n">
        <v>2501</v>
      </c>
      <c r="G14" s="17" t="n">
        <v>2910</v>
      </c>
    </row>
    <row r="16" customFormat="false" ht="15" hidden="false" customHeight="false" outlineLevel="0" collapsed="false">
      <c r="A16" s="20" t="s">
        <v>78</v>
      </c>
      <c r="B16" s="20"/>
      <c r="C16" s="20"/>
      <c r="D16" s="20"/>
      <c r="E16" s="20"/>
      <c r="F16" s="20"/>
      <c r="G16" s="20"/>
    </row>
    <row r="17" customFormat="false" ht="15" hidden="false" customHeight="false" outlineLevel="0" collapsed="false">
      <c r="A17" s="16" t="s">
        <v>79</v>
      </c>
      <c r="B17" s="17" t="n">
        <v>2923</v>
      </c>
      <c r="C17" s="17" t="n">
        <v>326</v>
      </c>
      <c r="D17" s="17" t="n">
        <v>2068</v>
      </c>
      <c r="E17" s="17" t="n">
        <v>2394</v>
      </c>
      <c r="F17" s="17" t="n">
        <v>2524</v>
      </c>
      <c r="G17" s="17" t="n">
        <v>2637</v>
      </c>
    </row>
    <row r="18" customFormat="false" ht="15" hidden="false" customHeight="false" outlineLevel="0" collapsed="false">
      <c r="A18" s="12" t="s">
        <v>59</v>
      </c>
      <c r="B18" s="18" t="n">
        <v>25</v>
      </c>
      <c r="C18" s="18" t="n">
        <v>25</v>
      </c>
      <c r="D18" s="18" t="n">
        <v>18</v>
      </c>
      <c r="E18" s="18" t="n">
        <v>2</v>
      </c>
      <c r="F18" s="18" t="n">
        <v>0</v>
      </c>
      <c r="G18" s="18" t="n">
        <v>1</v>
      </c>
    </row>
    <row r="19" customFormat="false" ht="15" hidden="false" customHeight="false" outlineLevel="0" collapsed="false">
      <c r="A19" s="12" t="s">
        <v>80</v>
      </c>
      <c r="B19" s="18" t="n">
        <v>872</v>
      </c>
      <c r="C19" s="18" t="n">
        <v>1223</v>
      </c>
      <c r="D19" s="18" t="n">
        <v>-56</v>
      </c>
      <c r="E19" s="18" t="n">
        <v>-216</v>
      </c>
      <c r="F19" s="18" t="n">
        <v>-683</v>
      </c>
      <c r="G19" s="18" t="n">
        <v>-999</v>
      </c>
    </row>
    <row r="20" customFormat="false" ht="15" hidden="false" customHeight="false" outlineLevel="0" collapsed="false">
      <c r="A20" s="12" t="s">
        <v>81</v>
      </c>
      <c r="B20" s="18" t="n">
        <v>354</v>
      </c>
      <c r="C20" s="18" t="n">
        <v>318</v>
      </c>
      <c r="D20" s="18" t="n">
        <v>320</v>
      </c>
      <c r="E20" s="18" t="n">
        <v>477</v>
      </c>
      <c r="F20" s="18" t="n">
        <v>660</v>
      </c>
      <c r="G20" s="18" t="n">
        <v>1271</v>
      </c>
    </row>
    <row r="21" customFormat="false" ht="15" hidden="false" customHeight="false" outlineLevel="0" collapsed="false">
      <c r="A21" s="16" t="s">
        <v>82</v>
      </c>
      <c r="B21" s="17" t="n">
        <v>1226</v>
      </c>
      <c r="C21" s="17" t="n">
        <v>1541</v>
      </c>
      <c r="D21" s="17" t="n">
        <v>264</v>
      </c>
      <c r="E21" s="17" t="n">
        <v>261</v>
      </c>
      <c r="F21" s="17" t="n">
        <v>-23</v>
      </c>
      <c r="G21" s="17" t="n">
        <v>272</v>
      </c>
    </row>
    <row r="22" customFormat="false" ht="15" hidden="false" customHeight="false" outlineLevel="0" collapsed="false">
      <c r="A22" s="16" t="s">
        <v>83</v>
      </c>
      <c r="B22" s="22" t="n">
        <f aca="false">B17+B18+B21</f>
        <v>4174</v>
      </c>
      <c r="C22" s="22" t="n">
        <f aca="false">C17+C18+C21</f>
        <v>1892</v>
      </c>
      <c r="D22" s="22" t="n">
        <f aca="false">D17+D18+D21</f>
        <v>2350</v>
      </c>
      <c r="E22" s="22" t="n">
        <f aca="false">E17+E18+E21</f>
        <v>2657</v>
      </c>
      <c r="F22" s="22" t="n">
        <f aca="false">F17+F18+F21</f>
        <v>2501</v>
      </c>
      <c r="G22" s="22" t="n">
        <f aca="false">G17+G18+G21</f>
        <v>2910</v>
      </c>
    </row>
    <row r="24" customFormat="false" ht="15" hidden="false" customHeight="false" outlineLevel="0" collapsed="false">
      <c r="A24" s="20" t="s">
        <v>84</v>
      </c>
      <c r="B24" s="20"/>
      <c r="C24" s="20"/>
      <c r="D24" s="20"/>
      <c r="E24" s="20"/>
      <c r="F24" s="20"/>
      <c r="G24" s="20"/>
    </row>
    <row r="25" customFormat="false" ht="15" hidden="false" customHeight="false" outlineLevel="0" collapsed="false">
      <c r="A25" s="16" t="s">
        <v>85</v>
      </c>
      <c r="B25" s="23" t="n">
        <f aca="false">B19/(B17+B18)</f>
        <v>0.295793758480326</v>
      </c>
      <c r="C25" s="23" t="n">
        <f aca="false">C19/(C17+C18)</f>
        <v>3.48433048433048</v>
      </c>
      <c r="D25" s="23" t="n">
        <f aca="false">D19/(D17+D18)</f>
        <v>-0.0268456375838926</v>
      </c>
      <c r="E25" s="23" t="n">
        <f aca="false">E19/(E17+E18)</f>
        <v>-0.0901502504173623</v>
      </c>
      <c r="F25" s="23" t="n">
        <f aca="false">F19/(F17+F18)</f>
        <v>-0.270602218700475</v>
      </c>
      <c r="G25" s="23" t="n">
        <f aca="false">G19/(G17+G18)</f>
        <v>-0.378695981804397</v>
      </c>
    </row>
    <row r="26" customFormat="false" ht="15" hidden="false" customHeight="false" outlineLevel="0" collapsed="false">
      <c r="A26" s="16" t="s">
        <v>86</v>
      </c>
      <c r="B26" s="23" t="n">
        <f aca="false">B21/(B17+B18)</f>
        <v>0.415875169606513</v>
      </c>
      <c r="C26" s="23" t="n">
        <f aca="false">C21/(C17+C18)</f>
        <v>4.39031339031339</v>
      </c>
      <c r="D26" s="23" t="n">
        <f aca="false">D21/(D17+D18)</f>
        <v>0.126558005752637</v>
      </c>
      <c r="E26" s="23" t="n">
        <f aca="false">E21/(E17+E18)</f>
        <v>0.108931552587646</v>
      </c>
      <c r="F26" s="23" t="n">
        <f aca="false">F21/(F17+F18)</f>
        <v>-0.00911251980982567</v>
      </c>
      <c r="G26" s="23" t="n">
        <f aca="false">G21/(G17+G18)</f>
        <v>0.103108415466262</v>
      </c>
    </row>
  </sheetData>
  <mergeCells count="4">
    <mergeCell ref="A1:G1"/>
    <mergeCell ref="A4:G4"/>
    <mergeCell ref="A16:G16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87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12" t="s">
        <v>88</v>
      </c>
      <c r="B4" s="18" t="n">
        <v>-1136</v>
      </c>
      <c r="C4" s="18" t="n">
        <v>-2467</v>
      </c>
      <c r="D4" s="18" t="n">
        <v>-209</v>
      </c>
      <c r="E4" s="18" t="n">
        <v>179</v>
      </c>
      <c r="F4" s="18" t="n">
        <v>306</v>
      </c>
      <c r="G4" s="18" t="n">
        <v>310</v>
      </c>
    </row>
    <row r="5" customFormat="false" ht="15" hidden="false" customHeight="false" outlineLevel="0" collapsed="false">
      <c r="A5" s="12" t="s">
        <v>59</v>
      </c>
      <c r="B5" s="18" t="n">
        <v>19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1</v>
      </c>
    </row>
    <row r="6" customFormat="false" ht="15" hidden="false" customHeight="false" outlineLevel="0" collapsed="false">
      <c r="A6" s="12" t="s">
        <v>89</v>
      </c>
      <c r="B6" s="18" t="n">
        <v>1316</v>
      </c>
      <c r="C6" s="18" t="n">
        <v>477</v>
      </c>
      <c r="D6" s="18" t="n">
        <v>375</v>
      </c>
      <c r="E6" s="18" t="n">
        <v>413</v>
      </c>
      <c r="F6" s="18" t="n">
        <v>806</v>
      </c>
      <c r="G6" s="18" t="n">
        <v>1065</v>
      </c>
    </row>
    <row r="7" customFormat="false" ht="15" hidden="false" customHeight="false" outlineLevel="0" collapsed="false">
      <c r="A7" s="12" t="s">
        <v>90</v>
      </c>
      <c r="B7" s="18" t="n">
        <v>-8</v>
      </c>
      <c r="C7" s="18" t="n">
        <v>0</v>
      </c>
      <c r="D7" s="18" t="n">
        <v>-121</v>
      </c>
      <c r="E7" s="18" t="n">
        <v>34</v>
      </c>
      <c r="F7" s="18" t="n">
        <v>-18</v>
      </c>
      <c r="G7" s="18" t="n">
        <v>-17</v>
      </c>
    </row>
    <row r="8" customFormat="false" ht="15" hidden="false" customHeight="false" outlineLevel="0" collapsed="false">
      <c r="A8" s="12" t="s">
        <v>91</v>
      </c>
      <c r="B8" s="18" t="n">
        <v>272</v>
      </c>
      <c r="C8" s="18" t="n">
        <v>184</v>
      </c>
      <c r="D8" s="18" t="n">
        <v>287</v>
      </c>
      <c r="E8" s="18" t="n">
        <v>252</v>
      </c>
      <c r="F8" s="18" t="n">
        <v>283</v>
      </c>
      <c r="G8" s="18" t="n">
        <v>301</v>
      </c>
    </row>
    <row r="9" customFormat="false" ht="15" hidden="false" customHeight="false" outlineLevel="0" collapsed="false">
      <c r="A9" s="16" t="s">
        <v>92</v>
      </c>
      <c r="B9" s="17" t="n">
        <v>463</v>
      </c>
      <c r="C9" s="17" t="n">
        <v>-1806</v>
      </c>
      <c r="D9" s="17" t="n">
        <v>226</v>
      </c>
      <c r="E9" s="17" t="n">
        <v>884</v>
      </c>
      <c r="F9" s="17" t="n">
        <v>1377</v>
      </c>
      <c r="G9" s="17" t="n">
        <v>1660</v>
      </c>
    </row>
    <row r="10" customFormat="false" ht="15" hidden="false" customHeight="false" outlineLevel="0" collapsed="false">
      <c r="A10" s="12" t="s">
        <v>93</v>
      </c>
      <c r="B10" s="18" t="n">
        <v>-72</v>
      </c>
      <c r="C10" s="18" t="n">
        <v>2081</v>
      </c>
      <c r="D10" s="18" t="n">
        <v>-624</v>
      </c>
      <c r="E10" s="18" t="n">
        <v>-134</v>
      </c>
      <c r="F10" s="18" t="n">
        <v>-56</v>
      </c>
      <c r="G10" s="18" t="n">
        <v>129</v>
      </c>
    </row>
    <row r="11" customFormat="false" ht="15" hidden="false" customHeight="false" outlineLevel="0" collapsed="false">
      <c r="A11" s="12" t="s">
        <v>94</v>
      </c>
      <c r="B11" s="18" t="n">
        <v>-268</v>
      </c>
      <c r="C11" s="18" t="n">
        <v>-185</v>
      </c>
      <c r="D11" s="18" t="n">
        <v>-244</v>
      </c>
      <c r="E11" s="18" t="n">
        <v>-164</v>
      </c>
      <c r="F11" s="18" t="n">
        <v>-260</v>
      </c>
      <c r="G11" s="18" t="n">
        <v>-285</v>
      </c>
    </row>
    <row r="12" customFormat="false" ht="15" hidden="false" customHeight="false" outlineLevel="0" collapsed="false">
      <c r="A12" s="12" t="s">
        <v>95</v>
      </c>
      <c r="B12" s="18" t="n">
        <v>123</v>
      </c>
      <c r="C12" s="18" t="n">
        <v>90</v>
      </c>
      <c r="D12" s="18" t="n">
        <v>-523</v>
      </c>
      <c r="E12" s="18" t="n">
        <v>586</v>
      </c>
      <c r="F12" s="18" t="n">
        <v>1061</v>
      </c>
      <c r="G12" s="18" t="n">
        <v>1504</v>
      </c>
    </row>
    <row r="13" customFormat="false" ht="15" hidden="false" customHeight="false" outlineLevel="0" collapsed="false">
      <c r="A13" s="12" t="s">
        <v>96</v>
      </c>
      <c r="B13" s="18" t="n">
        <v>0</v>
      </c>
      <c r="C13" s="18" t="n">
        <v>0</v>
      </c>
      <c r="D13" s="18" t="n">
        <v>46</v>
      </c>
      <c r="E13" s="18" t="n">
        <v>0</v>
      </c>
      <c r="F13" s="18" t="n">
        <v>0</v>
      </c>
      <c r="G13" s="18" t="n">
        <v>0</v>
      </c>
    </row>
    <row r="14" customFormat="false" ht="15" hidden="false" customHeight="false" outlineLevel="0" collapsed="false">
      <c r="A14" s="16" t="s">
        <v>97</v>
      </c>
      <c r="B14" s="17" t="n">
        <v>123</v>
      </c>
      <c r="C14" s="17" t="n">
        <v>90</v>
      </c>
      <c r="D14" s="17" t="n">
        <v>-477</v>
      </c>
      <c r="E14" s="17" t="n">
        <v>586</v>
      </c>
      <c r="F14" s="17" t="n">
        <v>1061</v>
      </c>
      <c r="G14" s="17" t="n">
        <v>1504</v>
      </c>
    </row>
    <row r="15" customFormat="false" ht="15" hidden="false" customHeight="false" outlineLevel="0" collapsed="false">
      <c r="A15" s="12" t="s">
        <v>98</v>
      </c>
      <c r="B15" s="18" t="n">
        <v>-322</v>
      </c>
      <c r="C15" s="18" t="n">
        <v>-298</v>
      </c>
      <c r="D15" s="18" t="n">
        <v>-523</v>
      </c>
      <c r="E15" s="18" t="n">
        <v>-482</v>
      </c>
      <c r="F15" s="18" t="n">
        <v>-337</v>
      </c>
      <c r="G15" s="18" t="n">
        <v>-364</v>
      </c>
    </row>
    <row r="16" customFormat="false" ht="15" hidden="false" customHeight="false" outlineLevel="0" collapsed="false">
      <c r="A16" s="12" t="s">
        <v>99</v>
      </c>
      <c r="B16" s="18" t="n">
        <v>0</v>
      </c>
      <c r="C16" s="18" t="n">
        <v>0</v>
      </c>
      <c r="D16" s="18" t="n">
        <v>-27</v>
      </c>
      <c r="E16" s="18" t="n">
        <v>0</v>
      </c>
      <c r="F16" s="18" t="n">
        <v>0</v>
      </c>
      <c r="G16" s="18" t="n">
        <v>0</v>
      </c>
    </row>
    <row r="17" customFormat="false" ht="15" hidden="false" customHeight="false" outlineLevel="0" collapsed="false">
      <c r="A17" s="12" t="s">
        <v>100</v>
      </c>
      <c r="B17" s="18" t="n">
        <v>-4</v>
      </c>
      <c r="C17" s="18" t="n">
        <v>0</v>
      </c>
      <c r="D17" s="18" t="n">
        <v>0</v>
      </c>
      <c r="E17" s="18" t="n">
        <v>-1</v>
      </c>
      <c r="F17" s="18" t="n">
        <v>-6</v>
      </c>
      <c r="G17" s="18" t="n">
        <v>-18</v>
      </c>
    </row>
    <row r="18" customFormat="false" ht="15" hidden="false" customHeight="false" outlineLevel="0" collapsed="false">
      <c r="A18" s="12" t="s">
        <v>101</v>
      </c>
      <c r="B18" s="18" t="n">
        <v>16</v>
      </c>
      <c r="C18" s="18" t="n">
        <v>15</v>
      </c>
      <c r="D18" s="18" t="n">
        <v>503</v>
      </c>
      <c r="E18" s="18" t="n">
        <v>145</v>
      </c>
      <c r="F18" s="18" t="n">
        <v>39</v>
      </c>
      <c r="G18" s="18" t="n">
        <v>119</v>
      </c>
    </row>
    <row r="19" customFormat="false" ht="15" hidden="false" customHeight="false" outlineLevel="0" collapsed="false">
      <c r="A19" s="12" t="s">
        <v>102</v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</row>
    <row r="20" customFormat="false" ht="15" hidden="false" customHeight="false" outlineLevel="0" collapsed="false">
      <c r="A20" s="16" t="s">
        <v>103</v>
      </c>
      <c r="B20" s="17" t="n">
        <v>-187</v>
      </c>
      <c r="C20" s="17" t="n">
        <v>-193</v>
      </c>
      <c r="D20" s="17" t="n">
        <v>-524</v>
      </c>
      <c r="E20" s="17" t="n">
        <v>248</v>
      </c>
      <c r="F20" s="17" t="n">
        <v>757</v>
      </c>
      <c r="G20" s="17" t="n">
        <v>1241</v>
      </c>
    </row>
    <row r="22" customFormat="false" ht="15" hidden="false" customHeight="false" outlineLevel="0" collapsed="false">
      <c r="A22" s="16" t="s">
        <v>104</v>
      </c>
      <c r="B22" s="21" t="n">
        <f aca="false">IFERROR(B20/Saipem_IS!B10,"")</f>
        <v>-0.436915887850467</v>
      </c>
      <c r="C22" s="21" t="n">
        <f aca="false">IFERROR(C20/Saipem_IS!C10,"")</f>
        <v>0.111948955916473</v>
      </c>
      <c r="D22" s="21" t="n">
        <f aca="false">IFERROR(D20/Saipem_IS!D10,"")</f>
        <v>-0.965009208103131</v>
      </c>
      <c r="E22" s="21" t="n">
        <f aca="false">IFERROR(E20/Saipem_IS!E10,"")</f>
        <v>0.267818574514039</v>
      </c>
      <c r="F22" s="21" t="n">
        <f aca="false">IFERROR(F20/Saipem_IS!F10,"")</f>
        <v>0.569601203912716</v>
      </c>
      <c r="G22" s="21" t="n">
        <f aca="false">IFERROR(G20/Saipem_IS!G10,"")</f>
        <v>0.723193473193473</v>
      </c>
    </row>
    <row r="23" customFormat="false" ht="15" hidden="false" customHeight="false" outlineLevel="0" collapsed="false">
      <c r="A23" s="16" t="s">
        <v>105</v>
      </c>
      <c r="B23" s="21" t="n">
        <f aca="false">-B15/Saipem_IS!B4</f>
        <v>0.0438572596022882</v>
      </c>
      <c r="C23" s="21" t="n">
        <f aca="false">-C15/Saipem_IS!C4</f>
        <v>0.0456495098039216</v>
      </c>
      <c r="D23" s="21" t="n">
        <f aca="false">-D15/Saipem_IS!D4</f>
        <v>0.0524048096192385</v>
      </c>
      <c r="E23" s="21" t="n">
        <f aca="false">-E15/Saipem_IS!E4</f>
        <v>0.0405928920330133</v>
      </c>
      <c r="F23" s="21" t="n">
        <f aca="false">-F15/Saipem_IS!F4</f>
        <v>0.0231631039934016</v>
      </c>
      <c r="G23" s="21" t="n">
        <f aca="false">-G15/Saipem_IS!G4</f>
        <v>0.0234884171129896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106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20" t="s">
        <v>107</v>
      </c>
      <c r="B4" s="20"/>
      <c r="C4" s="20"/>
      <c r="D4" s="20"/>
      <c r="E4" s="20"/>
      <c r="F4" s="20"/>
      <c r="G4" s="20"/>
    </row>
    <row r="5" customFormat="false" ht="15" hidden="false" customHeight="false" outlineLevel="0" collapsed="false">
      <c r="A5" s="12" t="s">
        <v>108</v>
      </c>
      <c r="B5" s="18"/>
      <c r="C5" s="18"/>
      <c r="D5" s="18"/>
      <c r="E5" s="18" t="n">
        <v>6700</v>
      </c>
      <c r="F5" s="18" t="n">
        <v>8058</v>
      </c>
      <c r="G5" s="18" t="n">
        <v>9044</v>
      </c>
    </row>
    <row r="6" customFormat="false" ht="15" hidden="false" customHeight="false" outlineLevel="0" collapsed="false">
      <c r="A6" s="12" t="s">
        <v>109</v>
      </c>
      <c r="B6" s="18"/>
      <c r="C6" s="18"/>
      <c r="D6" s="18"/>
      <c r="E6" s="18" t="n">
        <v>4443</v>
      </c>
      <c r="F6" s="18" t="n">
        <v>5573</v>
      </c>
      <c r="G6" s="18" t="n">
        <v>5624</v>
      </c>
    </row>
    <row r="7" customFormat="false" ht="15" hidden="false" customHeight="false" outlineLevel="0" collapsed="false">
      <c r="A7" s="12" t="s">
        <v>110</v>
      </c>
      <c r="B7" s="18"/>
      <c r="C7" s="18"/>
      <c r="D7" s="18"/>
      <c r="E7" s="18" t="n">
        <v>731</v>
      </c>
      <c r="F7" s="18" t="n">
        <v>918</v>
      </c>
      <c r="G7" s="18" t="n">
        <v>829</v>
      </c>
    </row>
    <row r="8" customFormat="false" ht="15" hidden="false" customHeight="false" outlineLevel="0" collapsed="false">
      <c r="A8" s="12" t="s">
        <v>111</v>
      </c>
      <c r="B8" s="18" t="n">
        <v>4801</v>
      </c>
      <c r="C8" s="18" t="n">
        <v>4415</v>
      </c>
      <c r="D8" s="18" t="n">
        <v>6440</v>
      </c>
      <c r="E8" s="18"/>
      <c r="F8" s="18"/>
      <c r="G8" s="18"/>
    </row>
    <row r="9" customFormat="false" ht="15" hidden="false" customHeight="false" outlineLevel="0" collapsed="false">
      <c r="A9" s="12" t="s">
        <v>112</v>
      </c>
      <c r="B9" s="18" t="n">
        <v>1954</v>
      </c>
      <c r="C9" s="18" t="n">
        <v>1898</v>
      </c>
      <c r="D9" s="18" t="n">
        <v>3018</v>
      </c>
      <c r="E9" s="18"/>
      <c r="F9" s="18"/>
      <c r="G9" s="18"/>
    </row>
    <row r="10" customFormat="false" ht="15" hidden="false" customHeight="false" outlineLevel="0" collapsed="false">
      <c r="A10" s="12" t="s">
        <v>113</v>
      </c>
      <c r="B10" s="18" t="n">
        <v>386</v>
      </c>
      <c r="C10" s="18" t="n">
        <v>415</v>
      </c>
      <c r="D10" s="18" t="n">
        <v>522</v>
      </c>
      <c r="E10" s="18"/>
      <c r="F10" s="18"/>
      <c r="G10" s="18"/>
    </row>
    <row r="11" customFormat="false" ht="15" hidden="false" customHeight="false" outlineLevel="0" collapsed="false">
      <c r="A11" s="12" t="s">
        <v>114</v>
      </c>
      <c r="B11" s="18" t="n">
        <v>201</v>
      </c>
      <c r="C11" s="18" t="n">
        <v>147</v>
      </c>
      <c r="D11" s="18"/>
      <c r="E11" s="18"/>
      <c r="F11" s="18"/>
      <c r="G11" s="18"/>
    </row>
    <row r="13" customFormat="false" ht="15" hidden="false" customHeight="false" outlineLevel="0" collapsed="false">
      <c r="A13" s="20" t="s">
        <v>115</v>
      </c>
      <c r="B13" s="20"/>
      <c r="C13" s="20"/>
      <c r="D13" s="20"/>
      <c r="E13" s="20"/>
      <c r="F13" s="20"/>
      <c r="G13" s="20"/>
    </row>
    <row r="14" customFormat="false" ht="15" hidden="false" customHeight="false" outlineLevel="0" collapsed="false">
      <c r="A14" s="12" t="s">
        <v>108</v>
      </c>
      <c r="B14" s="18"/>
      <c r="C14" s="18"/>
      <c r="D14" s="18"/>
      <c r="E14" s="18"/>
      <c r="F14" s="18" t="n">
        <v>954</v>
      </c>
      <c r="G14" s="18" t="n">
        <v>1299</v>
      </c>
    </row>
    <row r="15" customFormat="false" ht="15" hidden="false" customHeight="false" outlineLevel="0" collapsed="false">
      <c r="A15" s="12" t="s">
        <v>109</v>
      </c>
      <c r="B15" s="18"/>
      <c r="C15" s="18"/>
      <c r="D15" s="18"/>
      <c r="E15" s="18"/>
      <c r="F15" s="18" t="n">
        <v>40</v>
      </c>
      <c r="G15" s="18" t="n">
        <v>100</v>
      </c>
    </row>
    <row r="16" customFormat="false" ht="15" hidden="false" customHeight="false" outlineLevel="0" collapsed="false">
      <c r="A16" s="12" t="s">
        <v>110</v>
      </c>
      <c r="B16" s="18"/>
      <c r="C16" s="18"/>
      <c r="D16" s="18"/>
      <c r="E16" s="18"/>
      <c r="F16" s="18" t="n">
        <v>335</v>
      </c>
      <c r="G16" s="18" t="n">
        <v>317</v>
      </c>
    </row>
  </sheetData>
  <mergeCells count="3">
    <mergeCell ref="A1:G1"/>
    <mergeCell ref="A4:G4"/>
    <mergeCell ref="A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116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16" t="s">
        <v>117</v>
      </c>
      <c r="B4" s="17" t="n">
        <v>8659</v>
      </c>
      <c r="C4" s="17" t="n">
        <v>7208</v>
      </c>
      <c r="D4" s="17" t="n">
        <v>12941</v>
      </c>
      <c r="E4" s="17" t="n">
        <v>17659</v>
      </c>
      <c r="F4" s="17" t="n">
        <v>18812</v>
      </c>
      <c r="G4" s="17" t="n">
        <v>12936</v>
      </c>
    </row>
    <row r="5" customFormat="false" ht="15" hidden="false" customHeight="false" outlineLevel="0" collapsed="false">
      <c r="A5" s="16" t="s">
        <v>118</v>
      </c>
      <c r="B5" s="17" t="n">
        <v>22400</v>
      </c>
      <c r="C5" s="17" t="n">
        <v>22733</v>
      </c>
      <c r="D5" s="17" t="n">
        <v>24017</v>
      </c>
      <c r="E5" s="17" t="n">
        <v>29802</v>
      </c>
      <c r="F5" s="17" t="n">
        <v>34065</v>
      </c>
      <c r="G5" s="17" t="n">
        <v>31469</v>
      </c>
    </row>
    <row r="7" customFormat="false" ht="15" hidden="false" customHeight="false" outlineLevel="0" collapsed="false">
      <c r="A7" s="16" t="s">
        <v>119</v>
      </c>
      <c r="B7" s="23" t="n">
        <f aca="false">B4/Saipem_IS!B4</f>
        <v>1.17937891582675</v>
      </c>
      <c r="C7" s="23" t="n">
        <f aca="false">C4/Saipem_IS!C4</f>
        <v>1.10416666666667</v>
      </c>
      <c r="D7" s="23" t="n">
        <f aca="false">D4/Saipem_IS!D4</f>
        <v>1.29669338677355</v>
      </c>
      <c r="E7" s="23" t="n">
        <f aca="false">E4/Saipem_IS!E4</f>
        <v>1.48719892201449</v>
      </c>
      <c r="F7" s="23" t="n">
        <f aca="false">F4/Saipem_IS!F4</f>
        <v>1.29300982885422</v>
      </c>
      <c r="G7" s="23" t="n">
        <f aca="false">G4/Saipem_IS!G4</f>
        <v>0.834742208169323</v>
      </c>
    </row>
    <row r="8" customFormat="false" ht="15" hidden="false" customHeight="false" outlineLevel="0" collapsed="false">
      <c r="A8" s="16" t="s">
        <v>120</v>
      </c>
      <c r="B8" s="23" t="n">
        <f aca="false">B5/Saipem_IS!B4</f>
        <v>3.05093979842005</v>
      </c>
      <c r="C8" s="23" t="n">
        <f aca="false">C5/Saipem_IS!C4</f>
        <v>3.48238357843137</v>
      </c>
      <c r="D8" s="23" t="n">
        <f aca="false">D5/Saipem_IS!D4</f>
        <v>2.4065130260521</v>
      </c>
      <c r="E8" s="23" t="n">
        <f aca="false">E5/Saipem_IS!E4</f>
        <v>2.50985346134411</v>
      </c>
      <c r="F8" s="23" t="n">
        <f aca="false">F5/Saipem_IS!F4</f>
        <v>2.34139803422916</v>
      </c>
      <c r="G8" s="23" t="n">
        <f aca="false">G5/Saipem_IS!G4</f>
        <v>2.03065109376008</v>
      </c>
    </row>
    <row r="10" customFormat="false" ht="15" hidden="false" customHeight="false" outlineLevel="0" collapsed="false">
      <c r="A10" s="20" t="s">
        <v>121</v>
      </c>
      <c r="B10" s="20"/>
      <c r="C10" s="20"/>
      <c r="D10" s="20"/>
      <c r="E10" s="20"/>
      <c r="F10" s="20"/>
      <c r="G10" s="20"/>
    </row>
    <row r="11" customFormat="false" ht="15" hidden="false" customHeight="false" outlineLevel="0" collapsed="false">
      <c r="A11" s="2" t="s">
        <v>108</v>
      </c>
      <c r="B11" s="24" t="n">
        <v>21163</v>
      </c>
    </row>
    <row r="12" customFormat="false" ht="15" hidden="false" customHeight="false" outlineLevel="0" collapsed="false">
      <c r="A12" s="2" t="s">
        <v>109</v>
      </c>
      <c r="B12" s="24" t="n">
        <v>9345</v>
      </c>
    </row>
    <row r="13" customFormat="false" ht="15" hidden="false" customHeight="false" outlineLevel="0" collapsed="false">
      <c r="A13" s="2" t="s">
        <v>110</v>
      </c>
      <c r="B13" s="24" t="n">
        <v>961</v>
      </c>
    </row>
  </sheetData>
  <mergeCells count="2">
    <mergeCell ref="A1:G1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122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16" t="s">
        <v>123</v>
      </c>
      <c r="B4" s="25" t="n">
        <f aca="false">Saipem_IS!B4</f>
        <v>7342</v>
      </c>
      <c r="C4" s="25" t="n">
        <f aca="false">Saipem_IS!C4</f>
        <v>6528</v>
      </c>
      <c r="D4" s="25" t="n">
        <f aca="false">Saipem_IS!D4</f>
        <v>9980</v>
      </c>
      <c r="E4" s="25" t="n">
        <f aca="false">Saipem_IS!E4</f>
        <v>11874</v>
      </c>
      <c r="F4" s="25" t="n">
        <f aca="false">Saipem_IS!F4</f>
        <v>14549</v>
      </c>
      <c r="G4" s="25" t="n">
        <f aca="false">Saipem_IS!G4</f>
        <v>15497</v>
      </c>
    </row>
    <row r="5" customFormat="false" ht="15" hidden="false" customHeight="false" outlineLevel="0" collapsed="false">
      <c r="A5" s="16" t="s">
        <v>124</v>
      </c>
      <c r="B5" s="25" t="n">
        <f aca="false">Saipem_IS!B10</f>
        <v>428</v>
      </c>
      <c r="C5" s="25" t="n">
        <f aca="false">Saipem_IS!C10</f>
        <v>-1724</v>
      </c>
      <c r="D5" s="25" t="n">
        <f aca="false">Saipem_IS!D10</f>
        <v>543</v>
      </c>
      <c r="E5" s="25" t="n">
        <f aca="false">Saipem_IS!E10</f>
        <v>926</v>
      </c>
      <c r="F5" s="25" t="n">
        <f aca="false">Saipem_IS!F10</f>
        <v>1329</v>
      </c>
      <c r="G5" s="25" t="n">
        <f aca="false">Saipem_IS!G10</f>
        <v>1716</v>
      </c>
    </row>
    <row r="6" customFormat="false" ht="15" hidden="false" customHeight="false" outlineLevel="0" collapsed="false">
      <c r="A6" s="16" t="s">
        <v>62</v>
      </c>
      <c r="B6" s="21" t="n">
        <f aca="false">Saipem_IS!B10/Saipem_IS!B4</f>
        <v>0.0582947425769545</v>
      </c>
      <c r="C6" s="21" t="n">
        <f aca="false">Saipem_IS!C10/Saipem_IS!C4</f>
        <v>-0.264093137254902</v>
      </c>
      <c r="D6" s="21" t="n">
        <f aca="false">Saipem_IS!D10/Saipem_IS!D4</f>
        <v>0.0544088176352705</v>
      </c>
      <c r="E6" s="21" t="n">
        <f aca="false">Saipem_IS!E10/Saipem_IS!E4</f>
        <v>0.077985514569648</v>
      </c>
      <c r="F6" s="21" t="n">
        <f aca="false">Saipem_IS!F10/Saipem_IS!F4</f>
        <v>0.0913464842944532</v>
      </c>
      <c r="G6" s="21" t="n">
        <f aca="false">Saipem_IS!G10/Saipem_IS!G4</f>
        <v>0.110731109246951</v>
      </c>
    </row>
    <row r="7" customFormat="false" ht="15" hidden="false" customHeight="false" outlineLevel="0" collapsed="false">
      <c r="A7" s="16" t="s">
        <v>125</v>
      </c>
      <c r="B7" s="25" t="n">
        <f aca="false">Saipem_CF!B20</f>
        <v>-187</v>
      </c>
      <c r="C7" s="25" t="n">
        <f aca="false">Saipem_CF!C20</f>
        <v>-193</v>
      </c>
      <c r="D7" s="25" t="n">
        <f aca="false">Saipem_CF!D20</f>
        <v>-524</v>
      </c>
      <c r="E7" s="25" t="n">
        <f aca="false">Saipem_CF!E20</f>
        <v>248</v>
      </c>
      <c r="F7" s="25" t="n">
        <f aca="false">Saipem_CF!F20</f>
        <v>757</v>
      </c>
      <c r="G7" s="25" t="n">
        <f aca="false">Saipem_CF!G20</f>
        <v>1241</v>
      </c>
    </row>
    <row r="8" customFormat="false" ht="15" hidden="false" customHeight="false" outlineLevel="0" collapsed="false">
      <c r="A8" s="16" t="s">
        <v>126</v>
      </c>
      <c r="B8" s="25" t="n">
        <f aca="false">Saipem_BS!B21</f>
        <v>1226</v>
      </c>
      <c r="C8" s="25" t="n">
        <f aca="false">Saipem_BS!C21</f>
        <v>1541</v>
      </c>
      <c r="D8" s="25" t="n">
        <f aca="false">Saipem_BS!D21</f>
        <v>264</v>
      </c>
      <c r="E8" s="25" t="n">
        <f aca="false">Saipem_BS!E21</f>
        <v>261</v>
      </c>
      <c r="F8" s="25" t="n">
        <f aca="false">Saipem_BS!F21</f>
        <v>-23</v>
      </c>
      <c r="G8" s="25" t="n">
        <f aca="false">Saipem_BS!G21</f>
        <v>272</v>
      </c>
    </row>
    <row r="9" customFormat="false" ht="15" hidden="false" customHeight="false" outlineLevel="0" collapsed="false">
      <c r="A9" s="16" t="s">
        <v>127</v>
      </c>
      <c r="B9" s="23" t="n">
        <f aca="false">IFERROR(Saipem_BS!B21/Saipem_IS!B10,"")</f>
        <v>2.86448598130841</v>
      </c>
      <c r="C9" s="23" t="n">
        <f aca="false">IFERROR(Saipem_BS!C21/Saipem_IS!C10,"")</f>
        <v>-0.89385150812065</v>
      </c>
      <c r="D9" s="23" t="n">
        <f aca="false">IFERROR(Saipem_BS!D21/Saipem_IS!D10,"")</f>
        <v>0.486187845303867</v>
      </c>
      <c r="E9" s="23" t="n">
        <f aca="false">IFERROR(Saipem_BS!E21/Saipem_IS!E10,"")</f>
        <v>0.281857451403888</v>
      </c>
      <c r="F9" s="23" t="n">
        <f aca="false">IFERROR(Saipem_BS!F21/Saipem_IS!F10,"")</f>
        <v>-0.017306245297216</v>
      </c>
      <c r="G9" s="23" t="n">
        <f aca="false">IFERROR(Saipem_BS!G21/Saipem_IS!G10,"")</f>
        <v>0.158508158508159</v>
      </c>
    </row>
    <row r="10" customFormat="false" ht="15" hidden="false" customHeight="false" outlineLevel="0" collapsed="false">
      <c r="A10" s="16" t="s">
        <v>128</v>
      </c>
      <c r="B10" s="23" t="n">
        <f aca="false">Saipem_Backlog!B5/Saipem_IS!B4</f>
        <v>3.05093979842005</v>
      </c>
      <c r="C10" s="23" t="n">
        <f aca="false">Saipem_Backlog!C5/Saipem_IS!C4</f>
        <v>3.48238357843137</v>
      </c>
      <c r="D10" s="23" t="n">
        <f aca="false">Saipem_Backlog!D5/Saipem_IS!D4</f>
        <v>2.4065130260521</v>
      </c>
      <c r="E10" s="23" t="n">
        <f aca="false">Saipem_Backlog!E5/Saipem_IS!E4</f>
        <v>2.50985346134411</v>
      </c>
      <c r="F10" s="23" t="n">
        <f aca="false">Saipem_Backlog!F5/Saipem_IS!F4</f>
        <v>2.34139803422916</v>
      </c>
      <c r="G10" s="23" t="n">
        <f aca="false">Saipem_Backlog!G5/Saipem_IS!G4</f>
        <v>2.03065109376008</v>
      </c>
    </row>
    <row r="11" customFormat="false" ht="15" hidden="false" customHeight="false" outlineLevel="0" collapsed="false">
      <c r="A11" s="16" t="s">
        <v>129</v>
      </c>
      <c r="B11" s="23" t="n">
        <f aca="false">Saipem_Backlog!B4/Saipem_IS!B4</f>
        <v>1.17937891582675</v>
      </c>
      <c r="C11" s="23" t="n">
        <f aca="false">Saipem_Backlog!C4/Saipem_IS!C4</f>
        <v>1.10416666666667</v>
      </c>
      <c r="D11" s="23" t="n">
        <f aca="false">Saipem_Backlog!D4/Saipem_IS!D4</f>
        <v>1.29669338677355</v>
      </c>
      <c r="E11" s="23" t="n">
        <f aca="false">Saipem_Backlog!E4/Saipem_IS!E4</f>
        <v>1.48719892201449</v>
      </c>
      <c r="F11" s="23" t="n">
        <f aca="false">Saipem_Backlog!F4/Saipem_IS!F4</f>
        <v>1.29300982885422</v>
      </c>
      <c r="G11" s="23" t="n">
        <f aca="false">Saipem_Backlog!G4/Saipem_IS!G4</f>
        <v>0.834742208169323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130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16" t="s">
        <v>131</v>
      </c>
      <c r="B4" s="17" t="n">
        <v>3466.4</v>
      </c>
      <c r="C4" s="17" t="n">
        <v>5010</v>
      </c>
      <c r="D4" s="17" t="n">
        <v>5135.8</v>
      </c>
      <c r="E4" s="17" t="n">
        <v>5973.7</v>
      </c>
      <c r="F4" s="17" t="n">
        <v>6837</v>
      </c>
      <c r="G4" s="17" t="n">
        <v>7086.3</v>
      </c>
    </row>
    <row r="5" customFormat="false" ht="15" hidden="false" customHeight="false" outlineLevel="0" collapsed="false">
      <c r="A5" s="12" t="s">
        <v>132</v>
      </c>
      <c r="B5" s="18" t="n">
        <v>-3652.9</v>
      </c>
      <c r="C5" s="18" t="n">
        <v>-4714.2</v>
      </c>
      <c r="D5" s="18" t="n">
        <v>-4794.4</v>
      </c>
      <c r="E5" s="18" t="n">
        <v>-5610.9</v>
      </c>
      <c r="F5" s="18" t="n">
        <v>-6132.3</v>
      </c>
      <c r="G5" s="18" t="n">
        <v>-6011.4</v>
      </c>
    </row>
    <row r="6" customFormat="false" ht="15" hidden="false" customHeight="false" outlineLevel="0" collapsed="false">
      <c r="A6" s="12" t="s">
        <v>133</v>
      </c>
      <c r="B6" s="18" t="n">
        <v>0</v>
      </c>
      <c r="C6" s="18" t="n">
        <v>0</v>
      </c>
      <c r="D6" s="18" t="n">
        <v>55.6</v>
      </c>
      <c r="E6" s="18" t="n">
        <v>0</v>
      </c>
      <c r="F6" s="18" t="n">
        <v>0</v>
      </c>
      <c r="G6" s="18" t="n">
        <v>0</v>
      </c>
    </row>
    <row r="7" customFormat="false" ht="15" hidden="false" customHeight="false" outlineLevel="0" collapsed="false">
      <c r="A7" s="16" t="s">
        <v>134</v>
      </c>
      <c r="B7" s="17" t="n">
        <v>-186.5</v>
      </c>
      <c r="C7" s="17" t="n">
        <v>295.8</v>
      </c>
      <c r="D7" s="17" t="n">
        <v>397</v>
      </c>
      <c r="E7" s="17" t="n">
        <v>362.8</v>
      </c>
      <c r="F7" s="17" t="n">
        <v>704.7</v>
      </c>
      <c r="G7" s="17" t="n">
        <v>1074.9</v>
      </c>
    </row>
    <row r="8" customFormat="false" ht="15" hidden="false" customHeight="false" outlineLevel="0" collapsed="false">
      <c r="A8" s="12" t="s">
        <v>135</v>
      </c>
      <c r="B8" s="18" t="n">
        <v>-241.4</v>
      </c>
      <c r="C8" s="18" t="n">
        <v>-228</v>
      </c>
      <c r="D8" s="18" t="n">
        <v>-245.2</v>
      </c>
      <c r="E8" s="18" t="n">
        <v>-266.3</v>
      </c>
      <c r="F8" s="18" t="n">
        <v>-297.2</v>
      </c>
      <c r="G8" s="18" t="n">
        <v>-340.5</v>
      </c>
    </row>
    <row r="9" customFormat="false" ht="15" hidden="false" customHeight="false" outlineLevel="0" collapsed="false">
      <c r="A9" s="12" t="s">
        <v>136</v>
      </c>
      <c r="B9" s="18" t="n">
        <v>-605.4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</row>
    <row r="10" customFormat="false" ht="15" hidden="false" customHeight="false" outlineLevel="0" collapsed="false">
      <c r="A10" s="12" t="s">
        <v>137</v>
      </c>
      <c r="B10" s="18" t="n">
        <v>-0.5</v>
      </c>
      <c r="C10" s="18" t="n">
        <v>3.9</v>
      </c>
      <c r="D10" s="18" t="n">
        <v>-3</v>
      </c>
      <c r="E10" s="18" t="n">
        <v>8.2</v>
      </c>
      <c r="F10" s="18" t="n">
        <v>38</v>
      </c>
      <c r="G10" s="18" t="n">
        <v>36.3</v>
      </c>
    </row>
    <row r="11" customFormat="false" ht="15" hidden="false" customHeight="false" outlineLevel="0" collapsed="false">
      <c r="A11" s="16" t="s">
        <v>138</v>
      </c>
      <c r="B11" s="17" t="n">
        <v>-1033.8</v>
      </c>
      <c r="C11" s="17" t="n">
        <v>71.7</v>
      </c>
      <c r="D11" s="17" t="n">
        <v>148.8</v>
      </c>
      <c r="E11" s="17" t="n">
        <v>104.7</v>
      </c>
      <c r="F11" s="17" t="n">
        <v>445.5</v>
      </c>
      <c r="G11" s="17" t="n">
        <v>770.7</v>
      </c>
    </row>
    <row r="12" customFormat="false" ht="15" hidden="false" customHeight="false" outlineLevel="0" collapsed="false">
      <c r="A12" s="12" t="s">
        <v>139</v>
      </c>
      <c r="B12" s="18" t="n">
        <v>4.8</v>
      </c>
      <c r="C12" s="18" t="n">
        <v>4.7</v>
      </c>
      <c r="D12" s="18" t="n">
        <v>9</v>
      </c>
      <c r="E12" s="18" t="n">
        <v>25.2</v>
      </c>
      <c r="F12" s="18" t="n">
        <v>24.4</v>
      </c>
      <c r="G12" s="18" t="n">
        <v>22.8</v>
      </c>
    </row>
    <row r="13" customFormat="false" ht="15" hidden="false" customHeight="false" outlineLevel="0" collapsed="false">
      <c r="A13" s="12" t="s">
        <v>140</v>
      </c>
      <c r="B13" s="18" t="n">
        <v>-18.3</v>
      </c>
      <c r="C13" s="18" t="n">
        <v>44.4</v>
      </c>
      <c r="D13" s="18" t="n">
        <v>1.9</v>
      </c>
      <c r="E13" s="18" t="n">
        <v>21.3</v>
      </c>
      <c r="F13" s="18" t="n">
        <v>-0.5</v>
      </c>
      <c r="G13" s="18" t="n">
        <v>-84.4</v>
      </c>
    </row>
    <row r="14" customFormat="false" ht="15" hidden="false" customHeight="false" outlineLevel="0" collapsed="false">
      <c r="A14" s="12" t="s">
        <v>141</v>
      </c>
      <c r="B14" s="18" t="n">
        <v>-24.6</v>
      </c>
      <c r="C14" s="18" t="n">
        <v>-20.1</v>
      </c>
      <c r="D14" s="18" t="n">
        <v>-23.4</v>
      </c>
      <c r="E14" s="18" t="n">
        <v>-71.2</v>
      </c>
      <c r="F14" s="18" t="n">
        <v>-101.2</v>
      </c>
      <c r="G14" s="18" t="n">
        <v>-87.3</v>
      </c>
    </row>
    <row r="15" customFormat="false" ht="15" hidden="false" customHeight="false" outlineLevel="0" collapsed="false">
      <c r="A15" s="16" t="s">
        <v>142</v>
      </c>
      <c r="B15" s="17" t="n">
        <v>-1071.9</v>
      </c>
      <c r="C15" s="17" t="n">
        <v>100.7</v>
      </c>
      <c r="D15" s="17" t="n">
        <v>136.3</v>
      </c>
      <c r="E15" s="17" t="n">
        <v>80</v>
      </c>
      <c r="F15" s="17" t="n">
        <v>368.2</v>
      </c>
      <c r="G15" s="17" t="n">
        <v>621.8</v>
      </c>
    </row>
    <row r="16" customFormat="false" ht="15" hidden="false" customHeight="false" outlineLevel="0" collapsed="false">
      <c r="A16" s="12" t="s">
        <v>143</v>
      </c>
      <c r="B16" s="18" t="n">
        <v>-33.3</v>
      </c>
      <c r="C16" s="18" t="n">
        <v>-64.3</v>
      </c>
      <c r="D16" s="18" t="n">
        <v>-99.9</v>
      </c>
      <c r="E16" s="18" t="n">
        <v>-70</v>
      </c>
      <c r="F16" s="18" t="n">
        <v>-151.6</v>
      </c>
      <c r="G16" s="18" t="n">
        <v>-217.6</v>
      </c>
    </row>
    <row r="17" customFormat="false" ht="15" hidden="false" customHeight="false" outlineLevel="0" collapsed="false">
      <c r="A17" s="16" t="s">
        <v>144</v>
      </c>
      <c r="B17" s="17" t="n">
        <v>-1105.2</v>
      </c>
      <c r="C17" s="17" t="n">
        <v>36.4</v>
      </c>
      <c r="D17" s="17" t="n">
        <v>36.4</v>
      </c>
      <c r="E17" s="17" t="n">
        <v>10</v>
      </c>
      <c r="F17" s="17" t="n">
        <v>216.6</v>
      </c>
      <c r="G17" s="17" t="n">
        <v>404.2</v>
      </c>
    </row>
    <row r="19" customFormat="false" ht="15" hidden="false" customHeight="false" outlineLevel="0" collapsed="false">
      <c r="A19" s="16" t="s">
        <v>145</v>
      </c>
      <c r="B19" s="17" t="n">
        <v>337.1</v>
      </c>
      <c r="C19" s="17" t="n">
        <v>520.9</v>
      </c>
      <c r="D19" s="17" t="n">
        <v>559.4</v>
      </c>
      <c r="E19" s="17" t="n">
        <v>714.4</v>
      </c>
      <c r="F19" s="17" t="n">
        <v>1090.1</v>
      </c>
      <c r="G19" s="17" t="n">
        <v>1480.4</v>
      </c>
    </row>
    <row r="21" customFormat="false" ht="15" hidden="false" customHeight="false" outlineLevel="0" collapsed="false">
      <c r="A21" s="20" t="s">
        <v>61</v>
      </c>
      <c r="B21" s="20"/>
      <c r="C21" s="20"/>
      <c r="D21" s="20"/>
      <c r="E21" s="20"/>
      <c r="F21" s="20"/>
      <c r="G21" s="20"/>
    </row>
    <row r="22" customFormat="false" ht="15" hidden="false" customHeight="false" outlineLevel="0" collapsed="false">
      <c r="A22" s="16" t="s">
        <v>146</v>
      </c>
      <c r="B22" s="21" t="n">
        <f aca="false">B19/B4</f>
        <v>0.0972478652204016</v>
      </c>
      <c r="C22" s="21" t="n">
        <f aca="false">C19/C4</f>
        <v>0.103972055888224</v>
      </c>
      <c r="D22" s="21" t="n">
        <f aca="false">D19/D4</f>
        <v>0.10892168698158</v>
      </c>
      <c r="E22" s="21" t="n">
        <f aca="false">E19/E4</f>
        <v>0.119590873328088</v>
      </c>
      <c r="F22" s="21" t="n">
        <f aca="false">F19/F4</f>
        <v>0.159441275413193</v>
      </c>
      <c r="G22" s="21" t="n">
        <f aca="false">G19/G4</f>
        <v>0.208910150572231</v>
      </c>
    </row>
    <row r="23" customFormat="false" ht="15" hidden="false" customHeight="false" outlineLevel="0" collapsed="false">
      <c r="A23" s="16" t="s">
        <v>147</v>
      </c>
      <c r="B23" s="21" t="n">
        <f aca="false">B11/B4</f>
        <v>-0.298234479575352</v>
      </c>
      <c r="C23" s="21" t="n">
        <f aca="false">C11/C4</f>
        <v>0.014311377245509</v>
      </c>
      <c r="D23" s="21" t="n">
        <f aca="false">D11/D4</f>
        <v>0.0289730908524475</v>
      </c>
      <c r="E23" s="21" t="n">
        <f aca="false">E11/E4</f>
        <v>0.0175268259202839</v>
      </c>
      <c r="F23" s="21" t="n">
        <f aca="false">F11/F4</f>
        <v>0.0651601579640193</v>
      </c>
      <c r="G23" s="21" t="n">
        <f aca="false">G11/G4</f>
        <v>0.108759154989205</v>
      </c>
    </row>
    <row r="24" customFormat="false" ht="15" hidden="false" customHeight="false" outlineLevel="0" collapsed="false">
      <c r="A24" s="16" t="s">
        <v>148</v>
      </c>
      <c r="B24" s="21" t="n">
        <f aca="false">B17/B4</f>
        <v>-0.318832217862913</v>
      </c>
      <c r="C24" s="21" t="n">
        <f aca="false">C17/C4</f>
        <v>0.00726546906187625</v>
      </c>
      <c r="D24" s="21" t="n">
        <f aca="false">D17/D4</f>
        <v>0.00708750340745356</v>
      </c>
      <c r="E24" s="21" t="n">
        <f aca="false">E17/E4</f>
        <v>0.00167400438589149</v>
      </c>
      <c r="F24" s="21" t="n">
        <f aca="false">F17/F4</f>
        <v>0.0316805616498464</v>
      </c>
      <c r="G24" s="21" t="n">
        <f aca="false">G17/G4</f>
        <v>0.0570396398684786</v>
      </c>
    </row>
    <row r="25" customFormat="false" ht="15" hidden="false" customHeight="false" outlineLevel="0" collapsed="false">
      <c r="A25" s="16" t="s">
        <v>65</v>
      </c>
      <c r="B25" s="21"/>
      <c r="C25" s="21" t="n">
        <f aca="false">C4/B4-1</f>
        <v>0.445303484883453</v>
      </c>
      <c r="D25" s="21" t="n">
        <f aca="false">D4/C4-1</f>
        <v>0.0251097804391218</v>
      </c>
      <c r="E25" s="21" t="n">
        <f aca="false">E4/D4-1</f>
        <v>0.163148876513883</v>
      </c>
      <c r="F25" s="21" t="n">
        <f aca="false">F4/E4-1</f>
        <v>0.144516798634013</v>
      </c>
      <c r="G25" s="21" t="n">
        <f aca="false">G4/F4-1</f>
        <v>0.0364633611232996</v>
      </c>
    </row>
  </sheetData>
  <mergeCells count="2">
    <mergeCell ref="A1:G1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149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20" t="s">
        <v>150</v>
      </c>
      <c r="B4" s="20"/>
      <c r="C4" s="20"/>
      <c r="D4" s="20"/>
      <c r="E4" s="20"/>
      <c r="F4" s="20"/>
      <c r="G4" s="20"/>
    </row>
    <row r="5" customFormat="false" ht="15" hidden="false" customHeight="false" outlineLevel="0" collapsed="false">
      <c r="A5" s="12" t="s">
        <v>151</v>
      </c>
      <c r="B5" s="18" t="n">
        <v>84.5</v>
      </c>
      <c r="C5" s="18" t="n">
        <v>160.5</v>
      </c>
      <c r="D5" s="18" t="n">
        <v>191.3</v>
      </c>
      <c r="E5" s="18" t="n">
        <v>192.2</v>
      </c>
      <c r="F5" s="18" t="n">
        <v>183.7</v>
      </c>
      <c r="G5" s="18" t="n">
        <v>157</v>
      </c>
    </row>
    <row r="6" customFormat="false" ht="15" hidden="false" customHeight="false" outlineLevel="0" collapsed="false">
      <c r="A6" s="12" t="s">
        <v>152</v>
      </c>
      <c r="B6" s="18" t="n">
        <v>46</v>
      </c>
      <c r="C6" s="18" t="n">
        <v>37.3</v>
      </c>
      <c r="D6" s="18" t="n">
        <v>31.1</v>
      </c>
      <c r="E6" s="18" t="n">
        <v>58.5</v>
      </c>
      <c r="F6" s="18" t="n">
        <v>87.6</v>
      </c>
      <c r="G6" s="18" t="n">
        <v>111.7</v>
      </c>
    </row>
    <row r="7" customFormat="false" ht="15" hidden="false" customHeight="false" outlineLevel="0" collapsed="false">
      <c r="A7" s="12" t="s">
        <v>68</v>
      </c>
      <c r="B7" s="18" t="n">
        <v>3982.6</v>
      </c>
      <c r="C7" s="18" t="n">
        <v>4081</v>
      </c>
      <c r="D7" s="18" t="n">
        <v>3922</v>
      </c>
      <c r="E7" s="18" t="n">
        <v>4070</v>
      </c>
      <c r="F7" s="18" t="n">
        <v>3960.8</v>
      </c>
      <c r="G7" s="18" t="n">
        <v>3760.2</v>
      </c>
    </row>
    <row r="8" customFormat="false" ht="15" hidden="false" customHeight="false" outlineLevel="0" collapsed="false">
      <c r="A8" s="12" t="s">
        <v>153</v>
      </c>
      <c r="B8" s="18" t="n">
        <v>213.3</v>
      </c>
      <c r="C8" s="18" t="n">
        <v>206.4</v>
      </c>
      <c r="D8" s="18" t="n">
        <v>242</v>
      </c>
      <c r="E8" s="18" t="n">
        <v>419.4</v>
      </c>
      <c r="F8" s="18" t="n">
        <v>400.3</v>
      </c>
      <c r="G8" s="18" t="n">
        <v>309.5</v>
      </c>
    </row>
    <row r="9" customFormat="false" ht="15" hidden="false" customHeight="false" outlineLevel="0" collapsed="false">
      <c r="A9" s="12" t="s">
        <v>154</v>
      </c>
      <c r="B9" s="18" t="n">
        <v>29.5</v>
      </c>
      <c r="C9" s="18" t="n">
        <v>28.6</v>
      </c>
      <c r="D9" s="18" t="n">
        <v>25.5</v>
      </c>
      <c r="E9" s="18" t="n">
        <v>342</v>
      </c>
      <c r="F9" s="18" t="n">
        <v>367.2</v>
      </c>
      <c r="G9" s="18" t="n">
        <v>370.2</v>
      </c>
    </row>
    <row r="10" customFormat="false" ht="15" hidden="false" customHeight="false" outlineLevel="0" collapsed="false">
      <c r="A10" s="12" t="s">
        <v>155</v>
      </c>
      <c r="B10" s="18" t="n">
        <v>104.8</v>
      </c>
      <c r="C10" s="18" t="n">
        <v>145.5</v>
      </c>
      <c r="D10" s="18" t="n">
        <v>111</v>
      </c>
      <c r="E10" s="18" t="n">
        <v>158.5</v>
      </c>
      <c r="F10" s="18" t="n">
        <v>206.7</v>
      </c>
      <c r="G10" s="18" t="n">
        <v>200.8</v>
      </c>
    </row>
    <row r="11" customFormat="false" ht="15" hidden="false" customHeight="false" outlineLevel="0" collapsed="false">
      <c r="A11" s="16" t="s">
        <v>156</v>
      </c>
      <c r="B11" s="17" t="n">
        <v>4461.7</v>
      </c>
      <c r="C11" s="17" t="n">
        <v>4660.3</v>
      </c>
      <c r="D11" s="17" t="n">
        <v>4522.9</v>
      </c>
      <c r="E11" s="17" t="n">
        <v>5230.6</v>
      </c>
      <c r="F11" s="17" t="n">
        <v>5206.3</v>
      </c>
      <c r="G11" s="17" t="n">
        <v>4909.7</v>
      </c>
    </row>
    <row r="12" customFormat="false" ht="15" hidden="false" customHeight="false" outlineLevel="0" collapsed="false">
      <c r="A12" s="12" t="s">
        <v>157</v>
      </c>
      <c r="B12" s="18" t="n">
        <v>511.6</v>
      </c>
      <c r="C12" s="18" t="n">
        <v>597.6</v>
      </c>
      <c r="D12" s="18" t="n">
        <v>645.6</v>
      </c>
      <c r="E12" s="18" t="n">
        <v>750.9</v>
      </c>
      <c r="F12" s="18" t="n">
        <v>575.3</v>
      </c>
      <c r="G12" s="18" t="n">
        <v>969.7</v>
      </c>
    </row>
    <row r="13" customFormat="false" ht="15" hidden="false" customHeight="false" outlineLevel="0" collapsed="false">
      <c r="A13" s="12" t="s">
        <v>158</v>
      </c>
      <c r="B13" s="18" t="n">
        <v>1323.8</v>
      </c>
      <c r="C13" s="18" t="n">
        <v>1730.4</v>
      </c>
      <c r="D13" s="18" t="n">
        <v>1775.7</v>
      </c>
      <c r="E13" s="18" t="n">
        <v>2114</v>
      </c>
      <c r="F13" s="18" t="n">
        <v>1898.8</v>
      </c>
      <c r="G13" s="18" t="n">
        <v>2151.1</v>
      </c>
    </row>
    <row r="14" customFormat="false" ht="15" hidden="false" customHeight="false" outlineLevel="0" collapsed="false">
      <c r="A14" s="16" t="s">
        <v>159</v>
      </c>
      <c r="B14" s="17" t="n">
        <v>1835.4</v>
      </c>
      <c r="C14" s="17" t="n">
        <v>2328</v>
      </c>
      <c r="D14" s="17" t="n">
        <v>2421.3</v>
      </c>
      <c r="E14" s="17" t="n">
        <v>2864.9</v>
      </c>
      <c r="F14" s="17" t="n">
        <v>2474.1</v>
      </c>
      <c r="G14" s="17" t="n">
        <v>3120.8</v>
      </c>
    </row>
    <row r="15" customFormat="false" ht="15" hidden="false" customHeight="false" outlineLevel="0" collapsed="false">
      <c r="A15" s="16" t="s">
        <v>160</v>
      </c>
      <c r="B15" s="17" t="n">
        <v>6297.1</v>
      </c>
      <c r="C15" s="17" t="n">
        <v>6988.3</v>
      </c>
      <c r="D15" s="17" t="n">
        <v>6944.2</v>
      </c>
      <c r="E15" s="17" t="n">
        <v>8095.5</v>
      </c>
      <c r="F15" s="17" t="n">
        <v>7680.4</v>
      </c>
      <c r="G15" s="17" t="n">
        <v>8030.5</v>
      </c>
    </row>
    <row r="17" customFormat="false" ht="15" hidden="false" customHeight="false" outlineLevel="0" collapsed="false">
      <c r="A17" s="20" t="s">
        <v>161</v>
      </c>
      <c r="B17" s="20"/>
      <c r="C17" s="20"/>
      <c r="D17" s="20"/>
      <c r="E17" s="20"/>
      <c r="F17" s="20"/>
      <c r="G17" s="20"/>
    </row>
    <row r="18" customFormat="false" ht="15" hidden="false" customHeight="false" outlineLevel="0" collapsed="false">
      <c r="A18" s="12" t="s">
        <v>162</v>
      </c>
      <c r="B18" s="18" t="n">
        <v>4227.8</v>
      </c>
      <c r="C18" s="18" t="n">
        <v>4183.8</v>
      </c>
      <c r="D18" s="18" t="n">
        <v>4121.6</v>
      </c>
      <c r="E18" s="18" t="n">
        <v>4323</v>
      </c>
      <c r="F18" s="18" t="n">
        <v>4250.4</v>
      </c>
      <c r="G18" s="18" t="n">
        <v>4406.3</v>
      </c>
    </row>
    <row r="19" customFormat="false" ht="15" hidden="false" customHeight="false" outlineLevel="0" collapsed="false">
      <c r="A19" s="12" t="s">
        <v>59</v>
      </c>
      <c r="B19" s="18" t="n">
        <v>27.3</v>
      </c>
      <c r="C19" s="18" t="n">
        <v>305.4</v>
      </c>
      <c r="D19" s="18" t="n">
        <v>329.1</v>
      </c>
      <c r="E19" s="18" t="n">
        <v>34.1</v>
      </c>
      <c r="F19" s="18" t="n">
        <v>44.6</v>
      </c>
      <c r="G19" s="18" t="n">
        <v>38.5</v>
      </c>
    </row>
    <row r="20" customFormat="false" ht="15" hidden="false" customHeight="false" outlineLevel="0" collapsed="false">
      <c r="A20" s="16" t="s">
        <v>163</v>
      </c>
      <c r="B20" s="17" t="n">
        <v>4255.1</v>
      </c>
      <c r="C20" s="17" t="n">
        <v>4489.2</v>
      </c>
      <c r="D20" s="17" t="n">
        <v>4450.7</v>
      </c>
      <c r="E20" s="17" t="n">
        <v>4357.1</v>
      </c>
      <c r="F20" s="17" t="n">
        <v>4295</v>
      </c>
      <c r="G20" s="17" t="n">
        <v>4444.8</v>
      </c>
    </row>
    <row r="21" customFormat="false" ht="15" hidden="false" customHeight="false" outlineLevel="0" collapsed="false">
      <c r="A21" s="12" t="s">
        <v>164</v>
      </c>
      <c r="B21" s="18" t="n">
        <v>184.4</v>
      </c>
      <c r="C21" s="18" t="n">
        <v>360.3</v>
      </c>
      <c r="D21" s="18" t="n">
        <v>302.2</v>
      </c>
      <c r="E21" s="18" t="n">
        <v>721.4</v>
      </c>
      <c r="F21" s="18" t="n">
        <v>583.8</v>
      </c>
      <c r="G21" s="18" t="n">
        <v>402.4</v>
      </c>
    </row>
    <row r="22" customFormat="false" ht="15" hidden="false" customHeight="false" outlineLevel="0" collapsed="false">
      <c r="A22" s="12" t="s">
        <v>165</v>
      </c>
      <c r="B22" s="18" t="n">
        <v>168.6</v>
      </c>
      <c r="C22" s="18" t="n">
        <v>142.9</v>
      </c>
      <c r="D22" s="18" t="n">
        <v>161.2</v>
      </c>
      <c r="E22" s="18" t="n">
        <v>290.5</v>
      </c>
      <c r="F22" s="18" t="n">
        <v>231.1</v>
      </c>
      <c r="G22" s="18" t="n">
        <v>184.9</v>
      </c>
    </row>
    <row r="23" customFormat="false" ht="15" hidden="false" customHeight="false" outlineLevel="0" collapsed="false">
      <c r="A23" s="12" t="s">
        <v>166</v>
      </c>
      <c r="B23" s="18" t="n">
        <v>137.8</v>
      </c>
      <c r="C23" s="18" t="n">
        <v>134.4</v>
      </c>
      <c r="D23" s="18" t="n">
        <v>145.7</v>
      </c>
      <c r="E23" s="18" t="n">
        <v>110.4</v>
      </c>
      <c r="F23" s="18" t="n">
        <v>136.6</v>
      </c>
      <c r="G23" s="18" t="n">
        <v>180</v>
      </c>
    </row>
    <row r="24" customFormat="false" ht="15" hidden="false" customHeight="false" outlineLevel="0" collapsed="false">
      <c r="A24" s="16" t="s">
        <v>167</v>
      </c>
      <c r="B24" s="17" t="n">
        <v>490.8</v>
      </c>
      <c r="C24" s="17" t="n">
        <v>637.6</v>
      </c>
      <c r="D24" s="17" t="n">
        <v>609.1</v>
      </c>
      <c r="E24" s="17" t="n">
        <v>1122.3</v>
      </c>
      <c r="F24" s="17" t="n">
        <v>951.5</v>
      </c>
      <c r="G24" s="17" t="n">
        <v>767.3</v>
      </c>
    </row>
    <row r="25" customFormat="false" ht="15" hidden="false" customHeight="false" outlineLevel="0" collapsed="false">
      <c r="A25" s="12" t="s">
        <v>168</v>
      </c>
      <c r="B25" s="18" t="n">
        <v>24.6</v>
      </c>
      <c r="C25" s="18" t="n">
        <v>61.6</v>
      </c>
      <c r="D25" s="18" t="n">
        <v>53.8</v>
      </c>
      <c r="E25" s="18" t="n">
        <v>123.5</v>
      </c>
      <c r="F25" s="18" t="n">
        <v>138.2</v>
      </c>
      <c r="G25" s="18" t="n">
        <v>181.3</v>
      </c>
    </row>
    <row r="26" customFormat="false" ht="15" hidden="false" customHeight="false" outlineLevel="0" collapsed="false">
      <c r="A26" s="12" t="s">
        <v>169</v>
      </c>
      <c r="B26" s="18" t="n">
        <v>85.4</v>
      </c>
      <c r="C26" s="18" t="n">
        <v>88</v>
      </c>
      <c r="D26" s="18" t="n">
        <v>95.8</v>
      </c>
      <c r="E26" s="18" t="n">
        <v>167.8</v>
      </c>
      <c r="F26" s="18" t="n">
        <v>223.8</v>
      </c>
      <c r="G26" s="18" t="n">
        <v>164.9</v>
      </c>
    </row>
    <row r="27" customFormat="false" ht="15" hidden="false" customHeight="false" outlineLevel="0" collapsed="false">
      <c r="A27" s="12" t="s">
        <v>170</v>
      </c>
      <c r="B27" s="18" t="n">
        <v>1441.2</v>
      </c>
      <c r="C27" s="18" t="n">
        <v>1711.9</v>
      </c>
      <c r="D27" s="18" t="n">
        <v>1734.8</v>
      </c>
      <c r="E27" s="18" t="n">
        <v>2324.8</v>
      </c>
      <c r="F27" s="18" t="n">
        <v>2071.9</v>
      </c>
      <c r="G27" s="18" t="n">
        <v>2472.2</v>
      </c>
    </row>
    <row r="28" customFormat="false" ht="15" hidden="false" customHeight="false" outlineLevel="0" collapsed="false">
      <c r="A28" s="16" t="s">
        <v>171</v>
      </c>
      <c r="B28" s="17" t="n">
        <v>1551.2</v>
      </c>
      <c r="C28" s="17" t="n">
        <v>1861.5</v>
      </c>
      <c r="D28" s="17" t="n">
        <v>1884.4</v>
      </c>
      <c r="E28" s="17" t="n">
        <v>2616.1</v>
      </c>
      <c r="F28" s="17" t="n">
        <v>2433.9</v>
      </c>
      <c r="G28" s="17" t="n">
        <v>2818.4</v>
      </c>
    </row>
    <row r="29" customFormat="false" ht="15" hidden="false" customHeight="false" outlineLevel="0" collapsed="false">
      <c r="A29" s="16" t="s">
        <v>172</v>
      </c>
      <c r="B29" s="17" t="n">
        <v>2042</v>
      </c>
      <c r="C29" s="17" t="n">
        <v>2499.1</v>
      </c>
      <c r="D29" s="17" t="n">
        <v>2493.5</v>
      </c>
      <c r="E29" s="17" t="n">
        <v>3738.4</v>
      </c>
      <c r="F29" s="17" t="n">
        <v>3385.4</v>
      </c>
      <c r="G29" s="17" t="n">
        <v>3585.7</v>
      </c>
    </row>
    <row r="31" customFormat="false" ht="15" hidden="false" customHeight="false" outlineLevel="0" collapsed="false">
      <c r="A31" s="20" t="s">
        <v>173</v>
      </c>
      <c r="B31" s="20"/>
      <c r="C31" s="20"/>
      <c r="D31" s="20"/>
      <c r="E31" s="20"/>
      <c r="F31" s="20"/>
      <c r="G31" s="20"/>
    </row>
    <row r="32" customFormat="false" ht="15" hidden="false" customHeight="false" outlineLevel="0" collapsed="false">
      <c r="A32" s="16" t="s">
        <v>174</v>
      </c>
      <c r="B32" s="22" t="n">
        <f aca="false">B21+B25</f>
        <v>209</v>
      </c>
      <c r="C32" s="22" t="n">
        <f aca="false">C21+C25</f>
        <v>421.9</v>
      </c>
      <c r="D32" s="22" t="n">
        <f aca="false">D21+D25</f>
        <v>356</v>
      </c>
      <c r="E32" s="22" t="n">
        <f aca="false">E21+E25</f>
        <v>844.9</v>
      </c>
      <c r="F32" s="22" t="n">
        <f aca="false">F21+F25</f>
        <v>722</v>
      </c>
      <c r="G32" s="22" t="n">
        <f aca="false">G21+G25</f>
        <v>583.7</v>
      </c>
    </row>
    <row r="33" customFormat="false" ht="15" hidden="false" customHeight="false" outlineLevel="0" collapsed="false">
      <c r="A33" s="16" t="s">
        <v>175</v>
      </c>
      <c r="B33" s="22" t="n">
        <f aca="false">B32-B12</f>
        <v>-302.6</v>
      </c>
      <c r="C33" s="22" t="n">
        <f aca="false">C32-C12</f>
        <v>-175.7</v>
      </c>
      <c r="D33" s="22" t="n">
        <f aca="false">D32-D12</f>
        <v>-289.6</v>
      </c>
      <c r="E33" s="22" t="n">
        <f aca="false">E32-E12</f>
        <v>94</v>
      </c>
      <c r="F33" s="22" t="n">
        <f aca="false">F32-F12</f>
        <v>146.7</v>
      </c>
      <c r="G33" s="22" t="n">
        <f aca="false">G32-G12</f>
        <v>-386</v>
      </c>
    </row>
    <row r="34" customFormat="false" ht="15" hidden="false" customHeight="false" outlineLevel="0" collapsed="false">
      <c r="A34" s="16" t="s">
        <v>176</v>
      </c>
      <c r="B34" s="22" t="n">
        <f aca="false">B22+B26</f>
        <v>254</v>
      </c>
      <c r="C34" s="22" t="n">
        <f aca="false">C22+C26</f>
        <v>230.9</v>
      </c>
      <c r="D34" s="22" t="n">
        <f aca="false">D22+D26</f>
        <v>257</v>
      </c>
      <c r="E34" s="22" t="n">
        <f aca="false">E22+E26</f>
        <v>458.3</v>
      </c>
      <c r="F34" s="22" t="n">
        <f aca="false">F22+F26</f>
        <v>454.9</v>
      </c>
      <c r="G34" s="22" t="n">
        <f aca="false">G22+G26</f>
        <v>349.8</v>
      </c>
    </row>
    <row r="35" customFormat="false" ht="15" hidden="false" customHeight="false" outlineLevel="0" collapsed="false">
      <c r="A35" s="16" t="s">
        <v>177</v>
      </c>
      <c r="B35" s="22" t="n">
        <f aca="false">B33+B34</f>
        <v>-48.6</v>
      </c>
      <c r="C35" s="22" t="n">
        <f aca="false">C33+C34</f>
        <v>55.2</v>
      </c>
      <c r="D35" s="22" t="n">
        <f aca="false">D33+D34</f>
        <v>-32.6</v>
      </c>
      <c r="E35" s="22" t="n">
        <f aca="false">E33+E34</f>
        <v>552.3</v>
      </c>
      <c r="F35" s="22" t="n">
        <f aca="false">F33+F34</f>
        <v>601.6</v>
      </c>
      <c r="G35" s="22" t="n">
        <f aca="false">G33+G34</f>
        <v>-36.2</v>
      </c>
    </row>
  </sheetData>
  <mergeCells count="4">
    <mergeCell ref="A1:G1"/>
    <mergeCell ref="A4:G4"/>
    <mergeCell ref="A17:G17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178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16" t="s">
        <v>179</v>
      </c>
      <c r="B4" s="17" t="n">
        <v>446.8</v>
      </c>
      <c r="C4" s="17" t="n">
        <v>293</v>
      </c>
      <c r="D4" s="17" t="n">
        <v>485.8</v>
      </c>
      <c r="E4" s="17" t="n">
        <v>660</v>
      </c>
      <c r="F4" s="17" t="n">
        <v>931.4</v>
      </c>
      <c r="G4" s="17" t="n">
        <v>1470.7</v>
      </c>
    </row>
    <row r="5" customFormat="false" ht="15" hidden="false" customHeight="false" outlineLevel="0" collapsed="false">
      <c r="A5" s="12" t="s">
        <v>180</v>
      </c>
      <c r="B5" s="18" t="n">
        <v>-182.6</v>
      </c>
      <c r="C5" s="18" t="n">
        <v>-157.7</v>
      </c>
      <c r="D5" s="18" t="n">
        <v>-231</v>
      </c>
      <c r="E5" s="18" t="n">
        <v>-581.2</v>
      </c>
      <c r="F5" s="18" t="n">
        <v>-348.7</v>
      </c>
      <c r="G5" s="18" t="n">
        <v>-281</v>
      </c>
    </row>
    <row r="6" customFormat="false" ht="15" hidden="false" customHeight="false" outlineLevel="0" collapsed="false">
      <c r="A6" s="12" t="s">
        <v>181</v>
      </c>
      <c r="B6" s="18" t="n">
        <v>-164.6</v>
      </c>
      <c r="C6" s="18" t="n">
        <v>-183.7</v>
      </c>
      <c r="D6" s="18" t="n">
        <v>-220.1</v>
      </c>
      <c r="E6" s="18" t="n">
        <v>-710.2</v>
      </c>
      <c r="F6" s="18" t="n">
        <v>-413.6</v>
      </c>
      <c r="G6" s="18" t="n">
        <v>-213.6</v>
      </c>
    </row>
    <row r="7" customFormat="false" ht="15" hidden="false" customHeight="false" outlineLevel="0" collapsed="false">
      <c r="A7" s="12" t="s">
        <v>182</v>
      </c>
      <c r="B7" s="18" t="n">
        <v>-157.6</v>
      </c>
      <c r="C7" s="18" t="n">
        <v>-22.8</v>
      </c>
      <c r="D7" s="18" t="n">
        <v>-211.2</v>
      </c>
      <c r="E7" s="18" t="n">
        <v>-280.3</v>
      </c>
      <c r="F7" s="18" t="n">
        <v>-696.4</v>
      </c>
      <c r="G7" s="18" t="n">
        <v>-874</v>
      </c>
    </row>
    <row r="8" customFormat="false" ht="15" hidden="false" customHeight="false" outlineLevel="0" collapsed="false">
      <c r="A8" s="16" t="s">
        <v>183</v>
      </c>
      <c r="B8" s="17" t="n">
        <v>511.6</v>
      </c>
      <c r="C8" s="17" t="n">
        <v>597.6</v>
      </c>
      <c r="D8" s="17" t="n">
        <v>645.6</v>
      </c>
      <c r="E8" s="17" t="n">
        <v>750.9</v>
      </c>
      <c r="F8" s="17" t="n">
        <v>575.3</v>
      </c>
      <c r="G8" s="17" t="n">
        <v>969.7</v>
      </c>
    </row>
    <row r="10" customFormat="false" ht="15" hidden="false" customHeight="false" outlineLevel="0" collapsed="false">
      <c r="A10" s="16" t="s">
        <v>184</v>
      </c>
      <c r="B10" s="19" t="n">
        <f aca="false">B4+B5</f>
        <v>264.2</v>
      </c>
      <c r="C10" s="19" t="n">
        <f aca="false">C4+C5</f>
        <v>135.3</v>
      </c>
      <c r="D10" s="19" t="n">
        <f aca="false">D4+D5</f>
        <v>254.8</v>
      </c>
      <c r="E10" s="19" t="n">
        <f aca="false">E4+E5</f>
        <v>78.8</v>
      </c>
      <c r="F10" s="19" t="n">
        <f aca="false">F4+F5</f>
        <v>582.7</v>
      </c>
      <c r="G10" s="19" t="n">
        <f aca="false">G4+G5</f>
        <v>1189.7</v>
      </c>
    </row>
    <row r="12" customFormat="false" ht="15" hidden="false" customHeight="false" outlineLevel="0" collapsed="false">
      <c r="A12" s="16" t="s">
        <v>185</v>
      </c>
      <c r="B12" s="21" t="n">
        <f aca="false">IFERROR(B10/Subsea7_IS!B19,"")</f>
        <v>0.783743696232572</v>
      </c>
      <c r="C12" s="21" t="n">
        <f aca="false">IFERROR(C10/Subsea7_IS!C19,"")</f>
        <v>0.259742752927625</v>
      </c>
      <c r="D12" s="21" t="n">
        <f aca="false">IFERROR(D10/Subsea7_IS!D19,"")</f>
        <v>0.455488022881659</v>
      </c>
      <c r="E12" s="21" t="n">
        <f aca="false">IFERROR(E10/Subsea7_IS!E19,"")</f>
        <v>0.11030235162374</v>
      </c>
      <c r="F12" s="21" t="n">
        <f aca="false">IFERROR(F10/Subsea7_IS!F19,"")</f>
        <v>0.534538115769196</v>
      </c>
      <c r="G12" s="21" t="n">
        <f aca="false">IFERROR(G10/Subsea7_IS!G19,"")</f>
        <v>0.80363415293164</v>
      </c>
    </row>
    <row r="13" customFormat="false" ht="15" hidden="false" customHeight="false" outlineLevel="0" collapsed="false">
      <c r="A13" s="16" t="s">
        <v>105</v>
      </c>
      <c r="B13" s="21" t="n">
        <f aca="false">-B5/Subsea7_IS!B4</f>
        <v>0.0526771290099238</v>
      </c>
      <c r="C13" s="21" t="n">
        <f aca="false">-C5/Subsea7_IS!C4</f>
        <v>0.0314770459081836</v>
      </c>
      <c r="D13" s="21" t="n">
        <f aca="false">-D5/Subsea7_IS!D4</f>
        <v>0.0449783870088399</v>
      </c>
      <c r="E13" s="21" t="n">
        <f aca="false">-E5/Subsea7_IS!E4</f>
        <v>0.0972931349080135</v>
      </c>
      <c r="F13" s="21" t="n">
        <f aca="false">-F5/Subsea7_IS!F4</f>
        <v>0.0510019014187509</v>
      </c>
      <c r="G13" s="21" t="n">
        <f aca="false">-G5/Subsea7_IS!G4</f>
        <v>0.0396539802153451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186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16" t="s">
        <v>187</v>
      </c>
      <c r="B4" s="17" t="n">
        <v>4400</v>
      </c>
      <c r="C4" s="17" t="n">
        <v>6088.5</v>
      </c>
      <c r="D4" s="17" t="n">
        <v>7096.1</v>
      </c>
      <c r="E4" s="17" t="n">
        <v>7443.7</v>
      </c>
      <c r="F4" s="17" t="n">
        <v>8175.6</v>
      </c>
      <c r="G4" s="17" t="n">
        <v>9017.5</v>
      </c>
    </row>
    <row r="5" customFormat="false" ht="15" hidden="false" customHeight="false" outlineLevel="0" collapsed="false">
      <c r="A5" s="16" t="s">
        <v>188</v>
      </c>
      <c r="B5" s="17" t="n">
        <v>6214</v>
      </c>
      <c r="C5" s="17" t="n">
        <v>7212</v>
      </c>
      <c r="D5" s="17" t="n">
        <v>9008</v>
      </c>
      <c r="E5" s="17" t="n">
        <v>10587</v>
      </c>
      <c r="F5" s="17" t="n">
        <v>11175</v>
      </c>
      <c r="G5" s="17" t="n">
        <v>13769</v>
      </c>
    </row>
    <row r="7" customFormat="false" ht="15" hidden="false" customHeight="false" outlineLevel="0" collapsed="false">
      <c r="A7" s="16" t="s">
        <v>189</v>
      </c>
      <c r="B7" s="23" t="n">
        <f aca="false">B4/Subsea7_IS!B4</f>
        <v>1.26932840987768</v>
      </c>
      <c r="C7" s="23" t="n">
        <f aca="false">C4/Subsea7_IS!C4</f>
        <v>1.21526946107784</v>
      </c>
      <c r="D7" s="23" t="n">
        <f aca="false">D4/Subsea7_IS!D4</f>
        <v>1.38169321235251</v>
      </c>
      <c r="E7" s="23" t="n">
        <f aca="false">E4/Subsea7_IS!E4</f>
        <v>1.24607864472605</v>
      </c>
      <c r="F7" s="23" t="n">
        <f aca="false">F4/Subsea7_IS!F4</f>
        <v>1.19578762615182</v>
      </c>
      <c r="G7" s="23" t="n">
        <f aca="false">G4/Subsea7_IS!G4</f>
        <v>1.27252585975756</v>
      </c>
    </row>
    <row r="8" customFormat="false" ht="15" hidden="false" customHeight="false" outlineLevel="0" collapsed="false">
      <c r="A8" s="16" t="s">
        <v>128</v>
      </c>
      <c r="B8" s="23" t="n">
        <f aca="false">B5/Subsea7_IS!B4</f>
        <v>1.79263789522271</v>
      </c>
      <c r="C8" s="23" t="n">
        <f aca="false">C5/Subsea7_IS!C4</f>
        <v>1.43952095808383</v>
      </c>
      <c r="D8" s="23" t="n">
        <f aca="false">D5/Subsea7_IS!D4</f>
        <v>1.75396238171268</v>
      </c>
      <c r="E8" s="23" t="n">
        <f aca="false">E5/Subsea7_IS!E4</f>
        <v>1.77226844334332</v>
      </c>
      <c r="F8" s="23" t="n">
        <f aca="false">F5/Subsea7_IS!F4</f>
        <v>1.63448881088197</v>
      </c>
      <c r="G8" s="23" t="n">
        <f aca="false">G5/Subsea7_IS!G4</f>
        <v>1.94304503055191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190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16" t="s">
        <v>191</v>
      </c>
      <c r="B4" s="25" t="n">
        <f aca="false">Subsea7_IS!B4</f>
        <v>3466.4</v>
      </c>
      <c r="C4" s="25" t="n">
        <f aca="false">Subsea7_IS!C4</f>
        <v>5010</v>
      </c>
      <c r="D4" s="25" t="n">
        <f aca="false">Subsea7_IS!D4</f>
        <v>5135.8</v>
      </c>
      <c r="E4" s="25" t="n">
        <f aca="false">Subsea7_IS!E4</f>
        <v>5973.7</v>
      </c>
      <c r="F4" s="25" t="n">
        <f aca="false">Subsea7_IS!F4</f>
        <v>6837</v>
      </c>
      <c r="G4" s="25" t="n">
        <f aca="false">Subsea7_IS!G4</f>
        <v>7086.3</v>
      </c>
    </row>
    <row r="5" customFormat="false" ht="15" hidden="false" customHeight="false" outlineLevel="0" collapsed="false">
      <c r="A5" s="16" t="s">
        <v>192</v>
      </c>
      <c r="B5" s="25" t="n">
        <f aca="false">Subsea7_IS!B19</f>
        <v>337.1</v>
      </c>
      <c r="C5" s="25" t="n">
        <f aca="false">Subsea7_IS!C19</f>
        <v>520.9</v>
      </c>
      <c r="D5" s="25" t="n">
        <f aca="false">Subsea7_IS!D19</f>
        <v>559.4</v>
      </c>
      <c r="E5" s="25" t="n">
        <f aca="false">Subsea7_IS!E19</f>
        <v>714.4</v>
      </c>
      <c r="F5" s="25" t="n">
        <f aca="false">Subsea7_IS!F19</f>
        <v>1090.1</v>
      </c>
      <c r="G5" s="25" t="n">
        <f aca="false">Subsea7_IS!G19</f>
        <v>1480.4</v>
      </c>
    </row>
    <row r="6" customFormat="false" ht="15" hidden="false" customHeight="false" outlineLevel="0" collapsed="false">
      <c r="A6" s="16" t="s">
        <v>193</v>
      </c>
      <c r="B6" s="21" t="n">
        <f aca="false">Subsea7_IS!B19/Subsea7_IS!B4</f>
        <v>0.0972478652204016</v>
      </c>
      <c r="C6" s="21" t="n">
        <f aca="false">Subsea7_IS!C19/Subsea7_IS!C4</f>
        <v>0.103972055888224</v>
      </c>
      <c r="D6" s="21" t="n">
        <f aca="false">Subsea7_IS!D19/Subsea7_IS!D4</f>
        <v>0.10892168698158</v>
      </c>
      <c r="E6" s="21" t="n">
        <f aca="false">Subsea7_IS!E19/Subsea7_IS!E4</f>
        <v>0.119590873328088</v>
      </c>
      <c r="F6" s="21" t="n">
        <f aca="false">Subsea7_IS!F19/Subsea7_IS!F4</f>
        <v>0.159441275413193</v>
      </c>
      <c r="G6" s="21" t="n">
        <f aca="false">Subsea7_IS!G19/Subsea7_IS!G4</f>
        <v>0.208910150572231</v>
      </c>
    </row>
    <row r="7" customFormat="false" ht="15" hidden="false" customHeight="false" outlineLevel="0" collapsed="false">
      <c r="A7" s="16" t="s">
        <v>194</v>
      </c>
      <c r="B7" s="25" t="n">
        <f aca="false">Subsea7_CF!B10</f>
        <v>264.2</v>
      </c>
      <c r="C7" s="25" t="n">
        <f aca="false">Subsea7_CF!C10</f>
        <v>135.3</v>
      </c>
      <c r="D7" s="25" t="n">
        <f aca="false">Subsea7_CF!D10</f>
        <v>254.8</v>
      </c>
      <c r="E7" s="25" t="n">
        <f aca="false">Subsea7_CF!E10</f>
        <v>78.8</v>
      </c>
      <c r="F7" s="25" t="n">
        <f aca="false">Subsea7_CF!F10</f>
        <v>582.7</v>
      </c>
      <c r="G7" s="25" t="n">
        <f aca="false">Subsea7_CF!G10</f>
        <v>1189.7</v>
      </c>
    </row>
    <row r="8" customFormat="false" ht="15" hidden="false" customHeight="false" outlineLevel="0" collapsed="false">
      <c r="A8" s="16" t="s">
        <v>195</v>
      </c>
      <c r="B8" s="25" t="n">
        <f aca="false">Subsea7_BS!B35</f>
        <v>-48.6</v>
      </c>
      <c r="C8" s="25" t="n">
        <f aca="false">Subsea7_BS!C35</f>
        <v>55.2</v>
      </c>
      <c r="D8" s="25" t="n">
        <f aca="false">Subsea7_BS!D35</f>
        <v>-32.6</v>
      </c>
      <c r="E8" s="25" t="n">
        <f aca="false">Subsea7_BS!E35</f>
        <v>552.3</v>
      </c>
      <c r="F8" s="25" t="n">
        <f aca="false">Subsea7_BS!F35</f>
        <v>601.6</v>
      </c>
      <c r="G8" s="25" t="n">
        <f aca="false">Subsea7_BS!G35</f>
        <v>-36.2</v>
      </c>
    </row>
    <row r="9" customFormat="false" ht="15" hidden="false" customHeight="false" outlineLevel="0" collapsed="false">
      <c r="A9" s="16" t="s">
        <v>196</v>
      </c>
      <c r="B9" s="23" t="n">
        <f aca="false">IFERROR(Subsea7_BS!B35/Subsea7_IS!B19,"")</f>
        <v>-0.144170869178285</v>
      </c>
      <c r="C9" s="23" t="n">
        <f aca="false">IFERROR(Subsea7_BS!C35/Subsea7_IS!C19,"")</f>
        <v>0.10597043578422</v>
      </c>
      <c r="D9" s="23" t="n">
        <f aca="false">IFERROR(Subsea7_BS!D35/Subsea7_IS!D19,"")</f>
        <v>-0.0582767250625671</v>
      </c>
      <c r="E9" s="23" t="n">
        <f aca="false">IFERROR(Subsea7_BS!E35/Subsea7_IS!E19,"")</f>
        <v>0.773096304591265</v>
      </c>
      <c r="F9" s="23" t="n">
        <f aca="false">IFERROR(Subsea7_BS!F35/Subsea7_IS!F19,"")</f>
        <v>0.551875974681222</v>
      </c>
      <c r="G9" s="23" t="n">
        <f aca="false">IFERROR(Subsea7_BS!G35/Subsea7_IS!G19,"")</f>
        <v>-0.0244528505809241</v>
      </c>
    </row>
    <row r="10" customFormat="false" ht="15" hidden="false" customHeight="false" outlineLevel="0" collapsed="false">
      <c r="A10" s="16" t="s">
        <v>128</v>
      </c>
      <c r="B10" s="23" t="n">
        <f aca="false">Subsea7_Backlog!B5/Subsea7_IS!B4</f>
        <v>1.79263789522271</v>
      </c>
      <c r="C10" s="23" t="n">
        <f aca="false">Subsea7_Backlog!C5/Subsea7_IS!C4</f>
        <v>1.43952095808383</v>
      </c>
      <c r="D10" s="23" t="n">
        <f aca="false">Subsea7_Backlog!D5/Subsea7_IS!D4</f>
        <v>1.75396238171268</v>
      </c>
      <c r="E10" s="23" t="n">
        <f aca="false">Subsea7_Backlog!E5/Subsea7_IS!E4</f>
        <v>1.77226844334332</v>
      </c>
      <c r="F10" s="23" t="n">
        <f aca="false">Subsea7_Backlog!F5/Subsea7_IS!F4</f>
        <v>1.63448881088197</v>
      </c>
      <c r="G10" s="23" t="n">
        <f aca="false">Subsea7_Backlog!G5/Subsea7_IS!G4</f>
        <v>1.94304503055191</v>
      </c>
    </row>
    <row r="11" customFormat="false" ht="15" hidden="false" customHeight="false" outlineLevel="0" collapsed="false">
      <c r="A11" s="16" t="s">
        <v>129</v>
      </c>
      <c r="B11" s="23" t="n">
        <f aca="false">Subsea7_Backlog!B4/Subsea7_IS!B4</f>
        <v>1.26932840987768</v>
      </c>
      <c r="C11" s="23" t="n">
        <f aca="false">Subsea7_Backlog!C4/Subsea7_IS!C4</f>
        <v>1.21526946107784</v>
      </c>
      <c r="D11" s="23" t="n">
        <f aca="false">Subsea7_Backlog!D4/Subsea7_IS!D4</f>
        <v>1.38169321235251</v>
      </c>
      <c r="E11" s="23" t="n">
        <f aca="false">Subsea7_Backlog!E4/Subsea7_IS!E4</f>
        <v>1.24607864472605</v>
      </c>
      <c r="F11" s="23" t="n">
        <f aca="false">Subsea7_Backlog!F4/Subsea7_IS!F4</f>
        <v>1.19578762615182</v>
      </c>
      <c r="G11" s="23" t="n">
        <f aca="false">Subsea7_Backlog!G4/Subsea7_IS!G4</f>
        <v>1.27252585975756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5" hidden="false" customHeight="false" outlineLevel="0" collapsed="false">
      <c r="A1" s="9" t="s">
        <v>197</v>
      </c>
      <c r="B1" s="9"/>
      <c r="C1" s="9"/>
      <c r="D1" s="9"/>
      <c r="E1" s="9"/>
      <c r="F1" s="9"/>
      <c r="G1" s="9"/>
    </row>
    <row r="3" customFormat="false" ht="15" hidden="false" customHeight="false" outlineLevel="0" collapsed="false">
      <c r="A3" s="10"/>
      <c r="B3" s="11" t="s">
        <v>33</v>
      </c>
      <c r="C3" s="11" t="s">
        <v>34</v>
      </c>
      <c r="D3" s="11" t="s">
        <v>35</v>
      </c>
      <c r="E3" s="11" t="s">
        <v>36</v>
      </c>
      <c r="F3" s="11" t="s">
        <v>37</v>
      </c>
      <c r="G3" s="11" t="s">
        <v>38</v>
      </c>
    </row>
    <row r="4" customFormat="false" ht="15" hidden="false" customHeight="false" outlineLevel="0" collapsed="false">
      <c r="A4" s="20" t="s">
        <v>198</v>
      </c>
      <c r="B4" s="20"/>
      <c r="C4" s="20"/>
      <c r="D4" s="20"/>
      <c r="E4" s="20"/>
      <c r="F4" s="20"/>
      <c r="G4" s="20"/>
    </row>
    <row r="5" customFormat="false" ht="15" hidden="false" customHeight="false" outlineLevel="0" collapsed="false">
      <c r="A5" s="16" t="s">
        <v>199</v>
      </c>
      <c r="B5" s="25" t="n">
        <f aca="false">Saipem_IS!B4*FX!B5</f>
        <v>8386.0324</v>
      </c>
      <c r="C5" s="25" t="n">
        <f aca="false">Saipem_IS!C4*FX!C5</f>
        <v>7720.6656</v>
      </c>
      <c r="D5" s="25" t="n">
        <f aca="false">Saipem_IS!D4*FX!D5</f>
        <v>10508.94</v>
      </c>
      <c r="E5" s="25" t="n">
        <f aca="false">Saipem_IS!E4*FX!E5</f>
        <v>12839.3562</v>
      </c>
      <c r="F5" s="25" t="n">
        <f aca="false">Saipem_IS!F4*FX!F5</f>
        <v>15747.8376</v>
      </c>
      <c r="G5" s="25" t="n">
        <f aca="false">Saipem_IS!G4*FX!G5</f>
        <v>17558.101</v>
      </c>
    </row>
    <row r="6" customFormat="false" ht="15" hidden="false" customHeight="false" outlineLevel="0" collapsed="false">
      <c r="A6" s="16" t="s">
        <v>200</v>
      </c>
      <c r="B6" s="25" t="n">
        <f aca="false">Subsea7_IS!B4</f>
        <v>3466.4</v>
      </c>
      <c r="C6" s="25" t="n">
        <f aca="false">Subsea7_IS!C4</f>
        <v>5010</v>
      </c>
      <c r="D6" s="25" t="n">
        <f aca="false">Subsea7_IS!D4</f>
        <v>5135.8</v>
      </c>
      <c r="E6" s="25" t="n">
        <f aca="false">Subsea7_IS!E4</f>
        <v>5973.7</v>
      </c>
      <c r="F6" s="25" t="n">
        <f aca="false">Subsea7_IS!F4</f>
        <v>6837</v>
      </c>
      <c r="G6" s="25" t="n">
        <f aca="false">Subsea7_IS!G4</f>
        <v>7086.3</v>
      </c>
    </row>
    <row r="7" customFormat="false" ht="15" hidden="false" customHeight="false" outlineLevel="0" collapsed="false">
      <c r="A7" s="16" t="s">
        <v>201</v>
      </c>
      <c r="B7" s="23" t="n">
        <f aca="false">B5/B6</f>
        <v>2.41923390260789</v>
      </c>
      <c r="C7" s="23" t="n">
        <f aca="false">C5/C6</f>
        <v>1.54105101796407</v>
      </c>
      <c r="D7" s="23" t="n">
        <f aca="false">D5/D6</f>
        <v>2.04621285875618</v>
      </c>
      <c r="E7" s="23" t="n">
        <f aca="false">E5/E6</f>
        <v>2.14931385908231</v>
      </c>
      <c r="F7" s="23" t="n">
        <f aca="false">F5/F6</f>
        <v>2.30332566915314</v>
      </c>
      <c r="G7" s="23" t="n">
        <f aca="false">G5/G6</f>
        <v>2.47775298816025</v>
      </c>
    </row>
    <row r="9" customFormat="false" ht="15" hidden="false" customHeight="false" outlineLevel="0" collapsed="false">
      <c r="A9" s="20" t="s">
        <v>202</v>
      </c>
      <c r="B9" s="20"/>
      <c r="C9" s="20"/>
      <c r="D9" s="20"/>
      <c r="E9" s="20"/>
      <c r="F9" s="20"/>
      <c r="G9" s="20"/>
    </row>
    <row r="10" customFormat="false" ht="15" hidden="false" customHeight="false" outlineLevel="0" collapsed="false">
      <c r="A10" s="16" t="s">
        <v>199</v>
      </c>
      <c r="B10" s="25" t="n">
        <f aca="false">Saipem_IS!B10*FX!B5</f>
        <v>488.8616</v>
      </c>
      <c r="C10" s="25" t="n">
        <f aca="false">Saipem_IS!C10*FX!C5</f>
        <v>-2038.9748</v>
      </c>
      <c r="D10" s="25" t="n">
        <f aca="false">Saipem_IS!D10*FX!D5</f>
        <v>571.779</v>
      </c>
      <c r="E10" s="25" t="n">
        <f aca="false">Saipem_IS!E10*FX!E5</f>
        <v>1001.2838</v>
      </c>
      <c r="F10" s="25" t="n">
        <f aca="false">Saipem_IS!F10*FX!F5</f>
        <v>1438.5096</v>
      </c>
      <c r="G10" s="25" t="n">
        <f aca="false">Saipem_IS!G10*FX!G5</f>
        <v>1944.228</v>
      </c>
    </row>
    <row r="11" customFormat="false" ht="15" hidden="false" customHeight="false" outlineLevel="0" collapsed="false">
      <c r="A11" s="16" t="s">
        <v>203</v>
      </c>
      <c r="B11" s="25" t="n">
        <f aca="false">Subsea7_IS!B19</f>
        <v>337.1</v>
      </c>
      <c r="C11" s="25" t="n">
        <f aca="false">Subsea7_IS!C19</f>
        <v>520.9</v>
      </c>
      <c r="D11" s="25" t="n">
        <f aca="false">Subsea7_IS!D19</f>
        <v>559.4</v>
      </c>
      <c r="E11" s="25" t="n">
        <f aca="false">Subsea7_IS!E19</f>
        <v>714.4</v>
      </c>
      <c r="F11" s="25" t="n">
        <f aca="false">Subsea7_IS!F19</f>
        <v>1090.1</v>
      </c>
      <c r="G11" s="25" t="n">
        <f aca="false">Subsea7_IS!G19</f>
        <v>1480.4</v>
      </c>
    </row>
    <row r="13" customFormat="false" ht="15" hidden="false" customHeight="false" outlineLevel="0" collapsed="false">
      <c r="A13" s="20" t="s">
        <v>204</v>
      </c>
      <c r="B13" s="20"/>
      <c r="C13" s="20"/>
      <c r="D13" s="20"/>
      <c r="E13" s="20"/>
      <c r="F13" s="20"/>
      <c r="G13" s="20"/>
    </row>
    <row r="14" customFormat="false" ht="15" hidden="false" customHeight="false" outlineLevel="0" collapsed="false">
      <c r="A14" s="16" t="s">
        <v>205</v>
      </c>
      <c r="B14" s="25" t="n">
        <f aca="false">Saipem_BS!B21*FX!B4</f>
        <v>1504.4246</v>
      </c>
      <c r="C14" s="25" t="n">
        <f aca="false">Saipem_BS!C21*FX!C4</f>
        <v>1745.3366</v>
      </c>
      <c r="D14" s="25" t="n">
        <f aca="false">Saipem_BS!D21*FX!D4</f>
        <v>281.5824</v>
      </c>
      <c r="E14" s="25" t="n">
        <f aca="false">Saipem_BS!E21*FX!E4</f>
        <v>288.405</v>
      </c>
      <c r="F14" s="25" t="n">
        <f aca="false">Saipem_BS!F21*FX!F4</f>
        <v>-23.8947</v>
      </c>
      <c r="G14" s="25" t="n">
        <f aca="false">Saipem_BS!G21*FX!G4</f>
        <v>321.776</v>
      </c>
    </row>
    <row r="15" customFormat="false" ht="15" hidden="false" customHeight="false" outlineLevel="0" collapsed="false">
      <c r="A15" s="16" t="s">
        <v>200</v>
      </c>
      <c r="B15" s="25" t="n">
        <f aca="false">Subsea7_BS!B35</f>
        <v>-48.6</v>
      </c>
      <c r="C15" s="25" t="n">
        <f aca="false">Subsea7_BS!C35</f>
        <v>55.2</v>
      </c>
      <c r="D15" s="25" t="n">
        <f aca="false">Subsea7_BS!D35</f>
        <v>-32.6</v>
      </c>
      <c r="E15" s="25" t="n">
        <f aca="false">Subsea7_BS!E35</f>
        <v>552.3</v>
      </c>
      <c r="F15" s="25" t="n">
        <f aca="false">Subsea7_BS!F35</f>
        <v>601.6</v>
      </c>
      <c r="G15" s="25" t="n">
        <f aca="false">Subsea7_BS!G35</f>
        <v>-36.2</v>
      </c>
    </row>
    <row r="17" customFormat="false" ht="15" hidden="false" customHeight="false" outlineLevel="0" collapsed="false">
      <c r="A17" s="20" t="s">
        <v>206</v>
      </c>
      <c r="B17" s="20"/>
      <c r="C17" s="20"/>
      <c r="D17" s="20"/>
      <c r="E17" s="20"/>
      <c r="F17" s="20"/>
      <c r="G17" s="20"/>
    </row>
    <row r="18" customFormat="false" ht="15" hidden="false" customHeight="false" outlineLevel="0" collapsed="false">
      <c r="A18" s="16" t="s">
        <v>205</v>
      </c>
      <c r="B18" s="25" t="n">
        <f aca="false">Saipem_Backlog!B5*FX!B4</f>
        <v>27487.04</v>
      </c>
      <c r="C18" s="25" t="n">
        <f aca="false">Saipem_Backlog!C5*FX!C4</f>
        <v>25747.3958</v>
      </c>
      <c r="D18" s="25" t="n">
        <f aca="false">Saipem_Backlog!D5*FX!D4</f>
        <v>25616.5322</v>
      </c>
      <c r="E18" s="25" t="n">
        <f aca="false">Saipem_Backlog!E5*FX!E4</f>
        <v>32931.21</v>
      </c>
      <c r="F18" s="25" t="n">
        <f aca="false">Saipem_Backlog!F5*FX!F4</f>
        <v>35390.1285</v>
      </c>
      <c r="G18" s="25" t="n">
        <f aca="false">Saipem_Backlog!G5*FX!G4</f>
        <v>37227.827</v>
      </c>
    </row>
    <row r="19" customFormat="false" ht="15" hidden="false" customHeight="false" outlineLevel="0" collapsed="false">
      <c r="A19" s="16" t="s">
        <v>200</v>
      </c>
      <c r="B19" s="25" t="n">
        <f aca="false">Subsea7_Backlog!B5</f>
        <v>6214</v>
      </c>
      <c r="C19" s="25" t="n">
        <f aca="false">Subsea7_Backlog!C5</f>
        <v>7212</v>
      </c>
      <c r="D19" s="25" t="n">
        <f aca="false">Subsea7_Backlog!D5</f>
        <v>9008</v>
      </c>
      <c r="E19" s="25" t="n">
        <f aca="false">Subsea7_Backlog!E5</f>
        <v>10587</v>
      </c>
      <c r="F19" s="25" t="n">
        <f aca="false">Subsea7_Backlog!F5</f>
        <v>11175</v>
      </c>
      <c r="G19" s="25" t="n">
        <f aca="false">Subsea7_Backlog!G5</f>
        <v>13769</v>
      </c>
    </row>
    <row r="21" customFormat="false" ht="15" hidden="false" customHeight="false" outlineLevel="0" collapsed="false">
      <c r="A21" s="20" t="s">
        <v>207</v>
      </c>
      <c r="B21" s="20"/>
      <c r="C21" s="20"/>
      <c r="D21" s="20"/>
      <c r="E21" s="20"/>
      <c r="F21" s="20"/>
      <c r="G21" s="20"/>
    </row>
    <row r="22" customFormat="false" ht="15" hidden="false" customHeight="false" outlineLevel="0" collapsed="false">
      <c r="A22" s="16" t="s">
        <v>208</v>
      </c>
      <c r="B22" s="26" t="n">
        <f aca="false">Saipem_IS!B4*FX!B5+Subsea7_IS!B4</f>
        <v>11852.4324</v>
      </c>
      <c r="C22" s="26" t="n">
        <f aca="false">Saipem_IS!C4*FX!C5+Subsea7_IS!C4</f>
        <v>12730.6656</v>
      </c>
      <c r="D22" s="26" t="n">
        <f aca="false">Saipem_IS!D4*FX!D5+Subsea7_IS!D4</f>
        <v>15644.74</v>
      </c>
      <c r="E22" s="26" t="n">
        <f aca="false">Saipem_IS!E4*FX!E5+Subsea7_IS!E4</f>
        <v>18813.0562</v>
      </c>
      <c r="F22" s="26" t="n">
        <f aca="false">Saipem_IS!F4*FX!F5+Subsea7_IS!F4</f>
        <v>22584.8376</v>
      </c>
      <c r="G22" s="26" t="n">
        <f aca="false">Saipem_IS!G4*FX!G5+Subsea7_IS!G4</f>
        <v>24644.401</v>
      </c>
    </row>
    <row r="23" customFormat="false" ht="15" hidden="false" customHeight="false" outlineLevel="0" collapsed="false">
      <c r="A23" s="16" t="s">
        <v>209</v>
      </c>
      <c r="B23" s="26" t="n">
        <f aca="false">Saipem_Backlog!B5*FX!B4+Subsea7_Backlog!B5</f>
        <v>33701.04</v>
      </c>
      <c r="C23" s="26" t="n">
        <f aca="false">Saipem_Backlog!C5*FX!C4+Subsea7_Backlog!C5</f>
        <v>32959.3958</v>
      </c>
      <c r="D23" s="26" t="n">
        <f aca="false">Saipem_Backlog!D5*FX!D4+Subsea7_Backlog!D5</f>
        <v>34624.5322</v>
      </c>
      <c r="E23" s="26" t="n">
        <f aca="false">Saipem_Backlog!E5*FX!E4+Subsea7_Backlog!E5</f>
        <v>43518.21</v>
      </c>
      <c r="F23" s="26" t="n">
        <f aca="false">Saipem_Backlog!F5*FX!F4+Subsea7_Backlog!F5</f>
        <v>46565.1285</v>
      </c>
      <c r="G23" s="26" t="n">
        <f aca="false">Saipem_Backlog!G5*FX!G4+Subsea7_Backlog!G5</f>
        <v>50996.827</v>
      </c>
    </row>
  </sheetData>
  <mergeCells count="6">
    <mergeCell ref="A1:G1"/>
    <mergeCell ref="A4:G4"/>
    <mergeCell ref="A9:G9"/>
    <mergeCell ref="A13:G13"/>
    <mergeCell ref="A17:G17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2026-07-29T10:20:48Z</dcterms:created>
  <dc:creator>openpyxl</dc:creator>
  <dc:description/>
  <dc:language>en-US</dc:language>
  <cp:lastModifiedBy/>
  <dcterms:modified xsi:type="dcterms:W3CDTF">2026-07-29T10:20:48Z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